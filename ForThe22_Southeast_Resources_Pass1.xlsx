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70d9cad90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east Resources" sheetId="1" r:id="Rd1c5d90ed26e47b7"/>
    <x:sheet xmlns:r="http://schemas.openxmlformats.org/officeDocument/2006/relationships" name="State Summary" sheetId="2" r:id="R0db0f60abbc34104"/>
    <x:sheet xmlns:r="http://schemas.openxmlformats.org/officeDocument/2006/relationships" name="Taxonomy" sheetId="3" r:id="R989376d42952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6793caaf14ca6" /><Relationship Type="http://schemas.openxmlformats.org/officeDocument/2006/relationships/theme" Target="/xl/theme/theme1.xml" Id="Re3be2bc7f3b54ec6" /><Relationship Type="http://schemas.openxmlformats.org/officeDocument/2006/relationships/sharedStrings" Target="/xl/sharedStrings.xml" Id="R85df786e34f94afd" /><Relationship Type="http://schemas.openxmlformats.org/officeDocument/2006/relationships/worksheet" Target="/xl/worksheets/sheet1.xml" Id="Rd1c5d90ed26e47b7" /><Relationship Type="http://schemas.openxmlformats.org/officeDocument/2006/relationships/worksheet" Target="/xl/worksheets/sheet2.xml" Id="R0db0f60abbc34104" /><Relationship Type="http://schemas.openxmlformats.org/officeDocument/2006/relationships/worksheet" Target="/xl/worksheets/sheet3.xml" Id="R989376d429524a49" /></Relationships>
</file>

<file path=xl/tables/table1.xml><?xml version="1.0" encoding="utf-8"?>
<x:table xmlns:x="http://schemas.openxmlformats.org/spreadsheetml/2006/main" id="1" name="SoutheastResourcesTable" displayName="SoutheastResourcesTable" ref="A1:P57" headerRowCount="1" totalsRowCount="0" totalsRowShown="0">
  <x:tableColumns count="16">
    <x:tableColumn id="1" name="State"/>
    <x:tableColumn id="2" name="Resource / Program"/>
    <x:tableColumn id="3" name="Primary Category"/>
    <x:tableColumn id="4" name="Audience"/>
    <x:tableColumn id="5" name="Athletics Focus"/>
    <x:tableColumn id="6" name="What It Provides"/>
    <x:tableColumn id="7" name="Eligibility / Access Notes"/>
    <x:tableColumn id="8" name="Cost"/>
    <x:tableColumn id="9" name="Coverage Type"/>
    <x:tableColumn id="10" name="Geographic Area"/>
    <x:tableColumn id="11" name="Remote Available"/>
    <x:tableColumn id="12" name="Crisis / Urgent Support"/>
    <x:tableColumn id="13" name="Last Verified"/>
    <x:tableColumn id="14" name="Official / Verification URL"/>
    <x:tableColumn id="15" name="Publish Priority"/>
    <x:tableColumn id="16" name="Editorial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092928e0f443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34" hidden="0" customWidth="1"/>
    <x:col min="5" max="5" width="14" hidden="0" customWidth="1"/>
    <x:col min="6" max="6" width="48" hidden="0" customWidth="1"/>
    <x:col min="7" max="7" width="42" hidden="0" customWidth="1"/>
    <x:col min="8" max="8" width="18" hidden="0" customWidth="1"/>
    <x:col min="9" max="9" width="18" hidden="0" customWidth="1"/>
    <x:col min="10" max="10" width="30" hidden="0" customWidth="1"/>
    <x:col min="11" max="11" width="16" hidden="0" customWidth="1"/>
    <x:col min="12" max="12" width="18" hidden="0" customWidth="1"/>
    <x:col min="13" max="13" width="14" hidden="0" customWidth="1"/>
    <x:col min="14" max="14" width="48" hidden="0" customWidth="1"/>
    <x:col min="15" max="15" width="16" hidden="0" customWidth="1"/>
    <x:col min="16" max="16" width="44" hidden="0" customWidth="1"/>
  </x:cols>
  <x:sheetData>
    <x:row r="1">
      <x:c r="A1" s="10" t="str">
        <x:v>State</x:v>
      </x:c>
      <x:c r="B1" s="10" t="str">
        <x:v>Resource / Program</x:v>
      </x:c>
      <x:c r="C1" s="10" t="str">
        <x:v>Primary Category</x:v>
      </x:c>
      <x:c r="D1" s="10" t="str">
        <x:v>Audience</x:v>
      </x:c>
      <x:c r="E1" s="10" t="str">
        <x:v>Athletics Focus</x:v>
      </x:c>
      <x:c r="F1" s="10" t="str">
        <x:v>What It Provides</x:v>
      </x:c>
      <x:c r="G1" s="10" t="str">
        <x:v>Eligibility / Access Notes</x:v>
      </x:c>
      <x:c r="H1" s="10" t="str">
        <x:v>Cost</x:v>
      </x:c>
      <x:c r="I1" s="10" t="str">
        <x:v>Coverage Type</x:v>
      </x:c>
      <x:c r="J1" s="10" t="str">
        <x:v>Geographic Area</x:v>
      </x:c>
      <x:c r="K1" s="10" t="str">
        <x:v>Remote Available</x:v>
      </x:c>
      <x:c r="L1" s="10" t="str">
        <x:v>Crisis / Urgent Support</x:v>
      </x:c>
      <x:c r="M1" s="10" t="str">
        <x:v>Last Verified</x:v>
      </x:c>
      <x:c r="N1" s="10" t="str">
        <x:v>Official / Verification URL</x:v>
      </x:c>
      <x:c r="O1" s="10" t="str">
        <x:v>Publish Priority</x:v>
      </x:c>
      <x:c r="P1" s="10" t="str">
        <x:v>Editorial Notes</x:v>
      </x:c>
    </x:row>
    <x:row r="2">
      <x:c r="A2" s="11" t="str">
        <x:v>Alabama</x:v>
      </x:c>
      <x:c r="B2" s="11" t="str">
        <x:v>Catalyst Sports – Huntsville Chapter</x:v>
      </x:c>
      <x:c r="C2" s="11" t="str">
        <x:v>Sports &amp; Fitness</x:v>
      </x:c>
      <x:c r="D2" s="11" t="str">
        <x:v>Adaptive athletes; Veterans with physical disabilities</x:v>
      </x:c>
      <x:c r="E2" s="11" t="str">
        <x:v>Primary</x:v>
      </x:c>
      <x:c r="F2" s="11" t="str">
        <x:v>Community-based adaptive adventure sports through the Catalyst Sports / Move United network.</x:v>
      </x:c>
      <x:c r="G2" s="11" t="str">
        <x:v>Physical disability/adaptive-sport participation requirements vary by program.</x:v>
      </x:c>
      <x:c r="H2" s="11" t="str">
        <x:v>Varies / often subsidized</x:v>
      </x:c>
      <x:c r="I2" s="11" t="str">
        <x:v>Local</x:v>
      </x:c>
      <x:c r="J2" s="11" t="str">
        <x:v>Huntsville / North Alabama</x:v>
      </x:c>
      <x:c r="K2" s="11" t="str">
        <x:v>No</x:v>
      </x:c>
      <x:c r="L2" s="11" t="str">
        <x:v>No</x:v>
      </x:c>
      <x:c r="M2" s="11" t="str">
        <x:v>2026-08-20</x:v>
      </x:c>
      <x:c r="N2" s="11" t="str">
        <x:v>https://moveunitedsport.org/locations/</x:v>
      </x:c>
      <x:c r="O2" s="11" t="str">
        <x:v>High</x:v>
      </x:c>
      <x:c r="P2" s="11" t="str">
        <x:v>Verify active Huntsville schedule before publishing specific sports.</x:v>
      </x:c>
    </x:row>
    <x:row r="3">
      <x:c r="A3" s="11" t="str">
        <x:v>Alabama</x:v>
      </x:c>
      <x:c r="B3" s="11" t="str">
        <x:v>Catalyst Sports – Birmingham Chapter</x:v>
      </x:c>
      <x:c r="C3" s="11" t="str">
        <x:v>Sports &amp; Fitness</x:v>
      </x:c>
      <x:c r="D3" s="11" t="str">
        <x:v>Adaptive athletes; Veterans with physical disabilities</x:v>
      </x:c>
      <x:c r="E3" s="11" t="str">
        <x:v>Primary</x:v>
      </x:c>
      <x:c r="F3" s="11" t="str">
        <x:v>Community-based adaptive adventure sports through the Catalyst Sports / Move United network.</x:v>
      </x:c>
      <x:c r="G3" s="11" t="str">
        <x:v>Physical disability/adaptive-sport participation requirements vary by program.</x:v>
      </x:c>
      <x:c r="H3" s="11" t="str">
        <x:v>Varies / often subsidized</x:v>
      </x:c>
      <x:c r="I3" s="11" t="str">
        <x:v>Local</x:v>
      </x:c>
      <x:c r="J3" s="11" t="str">
        <x:v>Birmingham / Central Alabama</x:v>
      </x:c>
      <x:c r="K3" s="11" t="str">
        <x:v>No</x:v>
      </x:c>
      <x:c r="L3" s="11" t="str">
        <x:v>No</x:v>
      </x:c>
      <x:c r="M3" s="11" t="str">
        <x:v>2026-08-20</x:v>
      </x:c>
      <x:c r="N3" s="11" t="str">
        <x:v>https://moveunitedsport.org/locations/</x:v>
      </x:c>
      <x:c r="O3" s="11" t="str">
        <x:v>High</x:v>
      </x:c>
      <x:c r="P3" s="11" t="str">
        <x:v>Useful Alabama adaptive-sports option; verify current chapter programming.</x:v>
      </x:c>
    </x:row>
    <x:row r="4">
      <x:c r="A4" s="11" t="str">
        <x:v>Alabama</x:v>
      </x:c>
      <x:c r="B4" s="11" t="str">
        <x:v>Alabama First Responder Peer Support</x:v>
      </x:c>
      <x:c r="C4" s="11" t="str">
        <x:v>Mental Health &amp; Recovery</x:v>
      </x:c>
      <x:c r="D4" s="11" t="str">
        <x:v>Fire; EMS; emergency personnel</x:v>
      </x:c>
      <x:c r="E4" s="11" t="str">
        <x:v>None</x:v>
      </x:c>
      <x:c r="F4" s="11" t="str">
        <x:v>Free, confidential peer-to-peer support from trained first responders for job stress, trauma, personal challenges, mental health and substance-use concerns.</x:v>
      </x:c>
      <x:c r="G4" s="11" t="str">
        <x:v>Designed for Alabama fire service and emergency medical personnel.</x:v>
      </x:c>
      <x:c r="H4" s="11" t="str">
        <x:v>Free</x:v>
      </x:c>
      <x:c r="I4" s="11" t="str">
        <x:v>Statewide</x:v>
      </x:c>
      <x:c r="J4" s="11" t="str">
        <x:v>Alabama</x:v>
      </x:c>
      <x:c r="K4" s="11" t="str">
        <x:v>Yes</x:v>
      </x:c>
      <x:c r="L4" s="11" t="str">
        <x:v>Yes</x:v>
      </x:c>
      <x:c r="M4" s="11" t="str">
        <x:v>2026-08-20</x:v>
      </x:c>
      <x:c r="N4" s="11" t="str">
        <x:v>https://www.afrps.com/</x:v>
      </x:c>
      <x:c r="O4" s="11" t="str">
        <x:v>High</x:v>
      </x:c>
      <x:c r="P4" s="11" t="str">
        <x:v>Peer support is not a substitute for emergency response; preserve crisis distinction.</x:v>
      </x:c>
    </x:row>
    <x:row r="5">
      <x:c r="A5" s="11" t="str">
        <x:v>Alabama</x:v>
      </x:c>
      <x:c r="B5" s="11" t="str">
        <x:v>Alabama Law Enforcement Alliance for Peer Support (ALLEAPS)</x:v>
      </x:c>
      <x:c r="C5" s="11" t="str">
        <x:v>Mental Health &amp; Recovery</x:v>
      </x:c>
      <x:c r="D5" s="11" t="str">
        <x:v>Law enforcement; Dispatch; emergency responders; families</x:v>
      </x:c>
      <x:c r="E5" s="11" t="str">
        <x:v>None</x:v>
      </x:c>
      <x:c r="F5" s="11" t="str">
        <x:v>Peer support, crisis intervention, family support, suicide-prevention resources, substance-use support and critical-incident response.</x:v>
      </x:c>
      <x:c r="G5" s="11" t="str">
        <x:v>Statewide support for law-enforcement officers, dispatchers, emergency responders and families.</x:v>
      </x:c>
      <x:c r="H5" s="11" t="str">
        <x:v>Free</x:v>
      </x:c>
      <x:c r="I5" s="11" t="str">
        <x:v>Statewide</x:v>
      </x:c>
      <x:c r="J5" s="11" t="str">
        <x:v>Alabama</x:v>
      </x:c>
      <x:c r="K5" s="11" t="str">
        <x:v>Yes</x:v>
      </x:c>
      <x:c r="L5" s="11" t="str">
        <x:v>Yes</x:v>
      </x:c>
      <x:c r="M5" s="11" t="str">
        <x:v>2026-08-20</x:v>
      </x:c>
      <x:c r="N5" s="11" t="str">
        <x:v>https://alleaps.org/</x:v>
      </x:c>
      <x:c r="O5" s="11" t="str">
        <x:v>High</x:v>
      </x:c>
      <x:c r="P5" s="11" t="str">
        <x:v>Strong statewide first-responder-specific resource.</x:v>
      </x:c>
    </x:row>
    <x:row r="6">
      <x:c r="A6" s="11" t="str">
        <x:v>Alabama</x:v>
      </x:c>
      <x:c r="B6" s="11" t="str">
        <x:v>NAMI Alabama – Frontline Professionals</x:v>
      </x:c>
      <x:c r="C6" s="11" t="str">
        <x:v>Mental Health &amp; Recovery</x:v>
      </x:c>
      <x:c r="D6" s="11" t="str">
        <x:v>Law enforcement; Fire; EMS; ER professionals; families</x:v>
      </x:c>
      <x:c r="E6" s="11" t="str">
        <x:v>None</x:v>
      </x:c>
      <x:c r="F6" s="11" t="str">
        <x:v>Frontline Wellness resources, peer-support leader materials and Stronger Together relationship workshop content.</x:v>
      </x:c>
      <x:c r="G6" s="11" t="str">
        <x:v>Availability may depend on local NAMI affiliate.</x:v>
      </x:c>
      <x:c r="H6" s="11" t="str">
        <x:v>Free / Varies</x:v>
      </x:c>
      <x:c r="I6" s="11" t="str">
        <x:v>Statewide / Local</x:v>
      </x:c>
      <x:c r="J6" s="11" t="str">
        <x:v>Alabama</x:v>
      </x:c>
      <x:c r="K6" s="11" t="str">
        <x:v>Yes</x:v>
      </x:c>
      <x:c r="L6" s="11" t="str">
        <x:v>No</x:v>
      </x:c>
      <x:c r="M6" s="11" t="str">
        <x:v>2026-08-20</x:v>
      </x:c>
      <x:c r="N6" s="11" t="str">
        <x:v>https://namialabama.org/your-journey/frontline-professionals/</x:v>
      </x:c>
      <x:c r="O6" s="11" t="str">
        <x:v>Medium</x:v>
      </x:c>
      <x:c r="P6" s="11" t="str">
        <x:v>Secondary mental-health resource.</x:v>
      </x:c>
    </x:row>
    <x:row r="7">
      <x:c r="A7" s="11" t="str">
        <x:v>Alabama</x:v>
      </x:c>
      <x:c r="B7" s="11" t="str">
        <x:v>Priority Veteran – United Way of Central Alabama</x:v>
      </x:c>
      <x:c r="C7" s="11" t="str">
        <x:v>Housing &amp; Transportation</x:v>
      </x:c>
      <x:c r="D7" s="11" t="str">
        <x:v>Veterans; Veteran families</x:v>
      </x:c>
      <x:c r="E7" s="11" t="str">
        <x:v>None</x:v>
      </x:c>
      <x:c r="F7" s="11" t="str">
        <x:v>Housing stabilization, homelessness prevention, benefits connection, job-search help, financial coaching, and health/mental-health connections.</x:v>
      </x:c>
      <x:c r="G7" s="11" t="str">
        <x:v>Serves most of Alabama except Baldwin and Mobile counties; also selected Florida Panhandle counties.</x:v>
      </x:c>
      <x:c r="H7" s="11" t="str">
        <x:v>Free</x:v>
      </x:c>
      <x:c r="I7" s="11" t="str">
        <x:v>Regional / Statewide</x:v>
      </x:c>
      <x:c r="J7" s="11" t="str">
        <x:v>Most of Alabama</x:v>
      </x:c>
      <x:c r="K7" s="11" t="str">
        <x:v>Yes</x:v>
      </x:c>
      <x:c r="L7" s="11" t="str">
        <x:v>No</x:v>
      </x:c>
      <x:c r="M7" s="11" t="str">
        <x:v>2026-08-20</x:v>
      </x:c>
      <x:c r="N7" s="11" t="str">
        <x:v>https://www.uwca.org/need-help/veteran-services/</x:v>
      </x:c>
      <x:c r="O7" s="11" t="str">
        <x:v>High</x:v>
      </x:c>
      <x:c r="P7" s="11" t="str">
        <x:v>Clearly display geographic exclusions.</x:v>
      </x:c>
    </x:row>
    <x:row r="8">
      <x:c r="A8" s="11" t="str">
        <x:v>Alabama</x:v>
      </x:c>
      <x:c r="B8" s="11" t="str">
        <x:v>Alabama Veteran</x:v>
      </x:c>
      <x:c r="C8" s="11" t="str">
        <x:v>Purpose &amp; Community</x:v>
      </x:c>
      <x:c r="D8" s="11" t="str">
        <x:v>Veterans</x:v>
      </x:c>
      <x:c r="E8" s="11" t="str">
        <x:v>Secondary</x:v>
      </x:c>
      <x:c r="F8" s="11" t="str">
        <x:v>Resource navigation, employment, financial planning, health-care guidance, events, VSO connections and purpose-focused support.</x:v>
      </x:c>
      <x:c r="G8" s="11" t="str">
        <x:v>Alabama veterans; program eligibility varies.</x:v>
      </x:c>
      <x:c r="H8" s="11" t="str">
        <x:v>Free / Varies</x:v>
      </x:c>
      <x:c r="I8" s="11" t="str">
        <x:v>Statewide</x:v>
      </x:c>
      <x:c r="J8" s="11" t="str">
        <x:v>Alabama</x:v>
      </x:c>
      <x:c r="K8" s="11" t="str">
        <x:v>Yes</x:v>
      </x:c>
      <x:c r="L8" s="11" t="str">
        <x:v>No</x:v>
      </x:c>
      <x:c r="M8" s="11" t="str">
        <x:v>2026-08-20</x:v>
      </x:c>
      <x:c r="N8" s="11" t="str">
        <x:v>https://alabamaveteran.org/</x:v>
      </x:c>
      <x:c r="O8" s="11" t="str">
        <x:v>High</x:v>
      </x:c>
      <x:c r="P8" s="11" t="str">
        <x:v>Broad Alabama-specific navigator and community resource.</x:v>
      </x:c>
    </x:row>
    <x:row r="9">
      <x:c r="A9" s="11" t="str">
        <x:v>Tennessee</x:v>
      </x:c>
      <x:c r="B9" s="11" t="str">
        <x:v>SPARC – Sports, Arts &amp; Recreation of Chattanooga</x:v>
      </x:c>
      <x:c r="C9" s="11" t="str">
        <x:v>Sports &amp; Fitness</x:v>
      </x:c>
      <x:c r="D9" s="11" t="str">
        <x:v>People with disabilities; Adaptive athletes; Veterans</x:v>
      </x:c>
      <x:c r="E9" s="11" t="str">
        <x:v>Primary</x:v>
      </x:c>
      <x:c r="F9" s="11" t="str">
        <x:v>Adaptive water skiing, snow skiing, cycling, basketball, racing/running, kayaking and tennis.</x:v>
      </x:c>
      <x:c r="G9" s="11" t="str">
        <x:v>Adaptive participants; individual program requirements vary.</x:v>
      </x:c>
      <x:c r="H9" s="11" t="str">
        <x:v>Varies / subsidized</x:v>
      </x:c>
      <x:c r="I9" s="11" t="str">
        <x:v>Local / Regional</x:v>
      </x:c>
      <x:c r="J9" s="11" t="str">
        <x:v>Chattanooga / Southeast Tennessee</x:v>
      </x:c>
      <x:c r="K9" s="11" t="str">
        <x:v>No</x:v>
      </x:c>
      <x:c r="L9" s="11" t="str">
        <x:v>No</x:v>
      </x:c>
      <x:c r="M9" s="11" t="str">
        <x:v>2026-08-20</x:v>
      </x:c>
      <x:c r="N9" s="11" t="str">
        <x:v>https://www.sparctn.org/about-sparc</x:v>
      </x:c>
      <x:c r="O9" s="11" t="str">
        <x:v>High</x:v>
      </x:c>
      <x:c r="P9" s="11" t="str">
        <x:v>Excellent athletic resource near Chattanooga.</x:v>
      </x:c>
    </x:row>
    <x:row r="10">
      <x:c r="A10" s="11" t="str">
        <x:v>Tennessee</x:v>
      </x:c>
      <x:c r="B10" s="11" t="str">
        <x:v>Catalyst Sports – Chattanooga Chapter</x:v>
      </x:c>
      <x:c r="C10" s="11" t="str">
        <x:v>Sports &amp; Fitness</x:v>
      </x:c>
      <x:c r="D10" s="11" t="str">
        <x:v>People with physical disabilities; Adaptive athletes</x:v>
      </x:c>
      <x:c r="E10" s="11" t="str">
        <x:v>Primary</x:v>
      </x:c>
      <x:c r="F10" s="11" t="str">
        <x:v>Adaptive climbing and adaptive mountain biking in Chattanooga.</x:v>
      </x:c>
      <x:c r="G10" s="11" t="str">
        <x:v>Physical disability; registration required for events.</x:v>
      </x:c>
      <x:c r="H10" s="11" t="str">
        <x:v>Varies</x:v>
      </x:c>
      <x:c r="I10" s="11" t="str">
        <x:v>Local</x:v>
      </x:c>
      <x:c r="J10" s="11" t="str">
        <x:v>Chattanooga</x:v>
      </x:c>
      <x:c r="K10" s="11" t="str">
        <x:v>No</x:v>
      </x:c>
      <x:c r="L10" s="11" t="str">
        <x:v>No</x:v>
      </x:c>
      <x:c r="M10" s="11" t="str">
        <x:v>2026-08-20</x:v>
      </x:c>
      <x:c r="N10" s="11" t="str">
        <x:v>https://www.catalystsports.org/chattanooga</x:v>
      </x:c>
      <x:c r="O10" s="11" t="str">
        <x:v>High</x:v>
      </x:c>
      <x:c r="P10" s="11" t="str">
        <x:v>Adaptive mountain bike program is especially relevant.</x:v>
      </x:c>
    </x:row>
    <x:row r="11">
      <x:c r="A11" s="11" t="str">
        <x:v>Tennessee</x:v>
      </x:c>
      <x:c r="B11" s="11" t="str">
        <x:v>Tennessee Veterans Services Resource Hub</x:v>
      </x:c>
      <x:c r="C11" s="11" t="str">
        <x:v>Legal &amp; Benefits</x:v>
      </x:c>
      <x:c r="D11" s="11" t="str">
        <x:v>Veterans; Service members; families; survivors</x:v>
      </x:c>
      <x:c r="E11" s="11" t="str">
        <x:v>None</x:v>
      </x:c>
      <x:c r="F11" s="11" t="str">
        <x:v>Statewide verified services, benefits, mental-health links, State Veterans Services Offices and resource coordination.</x:v>
      </x:c>
      <x:c r="G11" s="11" t="str">
        <x:v>Tennessee veteran and military community; specific benefits vary.</x:v>
      </x:c>
      <x:c r="H11" s="11" t="str">
        <x:v>Free</x:v>
      </x:c>
      <x:c r="I11" s="11" t="str">
        <x:v>Statewide</x:v>
      </x:c>
      <x:c r="J11" s="11" t="str">
        <x:v>Tennessee</x:v>
      </x:c>
      <x:c r="K11" s="11" t="str">
        <x:v>Yes</x:v>
      </x:c>
      <x:c r="L11" s="11" t="str">
        <x:v>No</x:v>
      </x:c>
      <x:c r="M11" s="11" t="str">
        <x:v>2026-08-20</x:v>
      </x:c>
      <x:c r="N11" s="11" t="str">
        <x:v>https://www.tn.gov/veteran.html</x:v>
      </x:c>
      <x:c r="O11" s="11" t="str">
        <x:v>High</x:v>
      </x:c>
      <x:c r="P11" s="11" t="str">
        <x:v>Core state navigator.</x:v>
      </x:c>
    </x:row>
    <x:row r="12">
      <x:c r="A12" s="11" t="str">
        <x:v>Tennessee</x:v>
      </x:c>
      <x:c r="B12" s="11" t="str">
        <x:v>Tennessee Public Safety Network (TNPSN)</x:v>
      </x:c>
      <x:c r="C12" s="11" t="str">
        <x:v>Mental Health &amp; Recovery</x:v>
      </x:c>
      <x:c r="D12" s="11" t="str">
        <x:v>Law enforcement; Fire; EMS; Corrections; Dispatch; public safety</x:v>
      </x:c>
      <x:c r="E12" s="11" t="str">
        <x:v>None</x:v>
      </x:c>
      <x:c r="F12" s="11" t="str">
        <x:v>Critical-incident stress services, peer support, post-shooting teams, assessment/referral, relationship and substance-use support, training.</x:v>
      </x:c>
      <x:c r="G12" s="11" t="str">
        <x:v>Tennessee public-safety personnel; training costs may vary.</x:v>
      </x:c>
      <x:c r="H12" s="11" t="str">
        <x:v>Free / Varies</x:v>
      </x:c>
      <x:c r="I12" s="11" t="str">
        <x:v>Statewide</x:v>
      </x:c>
      <x:c r="J12" s="11" t="str">
        <x:v>Tennessee</x:v>
      </x:c>
      <x:c r="K12" s="11" t="str">
        <x:v>Yes</x:v>
      </x:c>
      <x:c r="L12" s="11" t="str">
        <x:v>Yes</x:v>
      </x:c>
      <x:c r="M12" s="11" t="str">
        <x:v>2026-08-20</x:v>
      </x:c>
      <x:c r="N12" s="11" t="str">
        <x:v>https://www.tnpsn.org/</x:v>
      </x:c>
      <x:c r="O12" s="11" t="str">
        <x:v>High</x:v>
      </x:c>
      <x:c r="P12" s="11" t="str">
        <x:v>Strong statewide first-responder resource.</x:v>
      </x:c>
    </x:row>
    <x:row r="13">
      <x:c r="A13" s="11" t="str">
        <x:v>Tennessee</x:v>
      </x:c>
      <x:c r="B13" s="11" t="str">
        <x:v>Serve &amp; Protect</x:v>
      </x:c>
      <x:c r="C13" s="11" t="str">
        <x:v>Mental Health &amp; Recovery</x:v>
      </x:c>
      <x:c r="D13" s="11" t="str">
        <x:v>Police; Fire; EMS; Dispatch; Corrections; military; families</x:v>
      </x:c>
      <x:c r="E13" s="11" t="str">
        <x:v>None</x:v>
      </x:c>
      <x:c r="F13" s="11" t="str">
        <x:v>Peer support, trauma-service referrals, chaplain network and first-responder crisis-resource navigation.</x:v>
      </x:c>
      <x:c r="G13" s="11" t="str">
        <x:v>Public safety, first responders, military and family members; serves beyond Tennessee.</x:v>
      </x:c>
      <x:c r="H13" s="11" t="str">
        <x:v>Free support / Varies by referred care</x:v>
      </x:c>
      <x:c r="I13" s="11" t="str">
        <x:v>National / Tennessee-based</x:v>
      </x:c>
      <x:c r="J13" s="11" t="str">
        <x:v>Tennessee / National</x:v>
      </x:c>
      <x:c r="K13" s="11" t="str">
        <x:v>Yes</x:v>
      </x:c>
      <x:c r="L13" s="11" t="str">
        <x:v>Yes</x:v>
      </x:c>
      <x:c r="M13" s="11" t="str">
        <x:v>2026-08-20</x:v>
      </x:c>
      <x:c r="N13" s="11" t="str">
        <x:v>https://www.serveprotect.org/</x:v>
      </x:c>
      <x:c r="O13" s="11" t="str">
        <x:v>High</x:v>
      </x:c>
      <x:c r="P13" s="11" t="str">
        <x:v>Useful in both state and national views.</x:v>
      </x:c>
    </x:row>
    <x:row r="14">
      <x:c r="A14" s="11" t="str">
        <x:v>Tennessee</x:v>
      </x:c>
      <x:c r="B14" s="11" t="str">
        <x:v>Operation Stand Down Tennessee</x:v>
      </x:c>
      <x:c r="C14" s="11" t="str">
        <x:v>Housing &amp; Transportation</x:v>
      </x:c>
      <x:c r="D14" s="11" t="str">
        <x:v>Veterans; Veteran families</x:v>
      </x:c>
      <x:c r="E14" s="11" t="str">
        <x:v>None</x:v>
      </x:c>
      <x:c r="F14" s="11" t="str">
        <x:v>Crisis relief, housing, transitional housing, employment/career services, connection and community support.</x:v>
      </x:c>
      <x:c r="G14" s="11" t="str">
        <x:v>Veterans and families; program-specific eligibility applies.</x:v>
      </x:c>
      <x:c r="H14" s="11" t="str">
        <x:v>Free</x:v>
      </x:c>
      <x:c r="I14" s="11" t="str">
        <x:v>State / Regional</x:v>
      </x:c>
      <x:c r="J14" s="11" t="str">
        <x:v>Tennessee</x:v>
      </x:c>
      <x:c r="K14" s="11" t="str">
        <x:v>Yes</x:v>
      </x:c>
      <x:c r="L14" s="11" t="str">
        <x:v>No</x:v>
      </x:c>
      <x:c r="M14" s="11" t="str">
        <x:v>2026-08-20</x:v>
      </x:c>
      <x:c r="N14" s="11" t="str">
        <x:v>https://osdtnwebsite.wixsite.com/osdtn</x:v>
      </x:c>
      <x:c r="O14" s="11" t="str">
        <x:v>High</x:v>
      </x:c>
      <x:c r="P14" s="11" t="str">
        <x:v>Strong wraparound veteran-services entry.</x:v>
      </x:c>
    </x:row>
    <x:row r="15">
      <x:c r="A15" s="11" t="str">
        <x:v>Tennessee</x:v>
      </x:c>
      <x:c r="B15" s="11" t="str">
        <x:v>Mission United – United Way of Greater Nashville</x:v>
      </x:c>
      <x:c r="C15" s="11" t="str">
        <x:v>Financial Assistance</x:v>
      </x:c>
      <x:c r="D15" s="11" t="str">
        <x:v>Active duty; Veterans; Military families</x:v>
      </x:c>
      <x:c r="E15" s="11" t="str">
        <x:v>None</x:v>
      </x:c>
      <x:c r="F15" s="11" t="str">
        <x:v>Free connections to housing, employment, mental health, financial assistance and other resources through a nine-county footprint and 211.</x:v>
      </x:c>
      <x:c r="G15" s="11" t="str">
        <x:v>Military-connected individuals in Greater Nashville service area.</x:v>
      </x:c>
      <x:c r="H15" s="11" t="str">
        <x:v>Free</x:v>
      </x:c>
      <x:c r="I15" s="11" t="str">
        <x:v>Regional</x:v>
      </x:c>
      <x:c r="J15" s="11" t="str">
        <x:v>Greater Nashville / Middle Tennessee</x:v>
      </x:c>
      <x:c r="K15" s="11" t="str">
        <x:v>Yes</x:v>
      </x:c>
      <x:c r="L15" s="11" t="str">
        <x:v>No</x:v>
      </x:c>
      <x:c r="M15" s="11" t="str">
        <x:v>2026-08-20</x:v>
      </x:c>
      <x:c r="N15" s="11" t="str">
        <x:v>https://www.unitedwaygreaternashville.org/mission-united/</x:v>
      </x:c>
      <x:c r="O15" s="11" t="str">
        <x:v>Medium</x:v>
      </x:c>
      <x:c r="P15" s="11" t="str">
        <x:v>Coverage is not statewide.</x:v>
      </x:c>
    </x:row>
    <x:row r="16">
      <x:c r="A16" s="11" t="str">
        <x:v>Georgia</x:v>
      </x:c>
      <x:c r="B16" s="11" t="str">
        <x:v>BlazeSports America – Veteran Programs</x:v>
      </x:c>
      <x:c r="C16" s="11" t="str">
        <x:v>Sports &amp; Fitness</x:v>
      </x:c>
      <x:c r="D16" s="11" t="str">
        <x:v>Veterans with physical disabilities</x:v>
      </x:c>
      <x:c r="E16" s="11" t="str">
        <x:v>Primary</x:v>
      </x:c>
      <x:c r="F16" s="11" t="str">
        <x:v>Free veteran membership for adaptive cycling, rowing, air rifle, bowling, archery, water aerobics and other sports.</x:v>
      </x:c>
      <x:c r="G16" s="11" t="str">
        <x:v>Veteran program with physical-disability focus.</x:v>
      </x:c>
      <x:c r="H16" s="11" t="str">
        <x:v>Free</x:v>
      </x:c>
      <x:c r="I16" s="11" t="str">
        <x:v>Regional / Statewide</x:v>
      </x:c>
      <x:c r="J16" s="11" t="str">
        <x:v>Metro Atlanta / Georgia</x:v>
      </x:c>
      <x:c r="K16" s="11" t="str">
        <x:v>Some</x:v>
      </x:c>
      <x:c r="L16" s="11" t="str">
        <x:v>No</x:v>
      </x:c>
      <x:c r="M16" s="11" t="str">
        <x:v>2026-08-20</x:v>
      </x:c>
      <x:c r="N16" s="11" t="str">
        <x:v>https://blazesports.org/veteran/</x:v>
      </x:c>
      <x:c r="O16" s="11" t="str">
        <x:v>High</x:v>
      </x:c>
      <x:c r="P16" s="11" t="str">
        <x:v>One of the strongest state-specific athletic resources found.</x:v>
      </x:c>
    </x:row>
    <x:row r="17">
      <x:c r="A17" s="11" t="str">
        <x:v>Georgia</x:v>
      </x:c>
      <x:c r="B17" s="11" t="str">
        <x:v>Georgia Department of Veterans Service / Unite Georgia</x:v>
      </x:c>
      <x:c r="C17" s="11" t="str">
        <x:v>Legal &amp; Benefits</x:v>
      </x:c>
      <x:c r="D17" s="11" t="str">
        <x:v>Veterans; Families; Caregivers; Survivors</x:v>
      </x:c>
      <x:c r="E17" s="11" t="str">
        <x:v>None</x:v>
      </x:c>
      <x:c r="F17" s="11" t="str">
        <x:v>Benefits claims help plus coordinated resource navigation for employment, education, transportation, food, mental and behavioral health and more.</x:v>
      </x:c>
      <x:c r="G17" s="11" t="str">
        <x:v>Georgia veterans and eligible family/caregiver populations.</x:v>
      </x:c>
      <x:c r="H17" s="11" t="str">
        <x:v>Free</x:v>
      </x:c>
      <x:c r="I17" s="11" t="str">
        <x:v>Statewide</x:v>
      </x:c>
      <x:c r="J17" s="11" t="str">
        <x:v>Georgia</x:v>
      </x:c>
      <x:c r="K17" s="11" t="str">
        <x:v>Yes</x:v>
      </x:c>
      <x:c r="L17" s="11" t="str">
        <x:v>No</x:v>
      </x:c>
      <x:c r="M17" s="11" t="str">
        <x:v>2026-08-20</x:v>
      </x:c>
      <x:c r="N17" s="11" t="str">
        <x:v>https://veterans.georgia.gov/</x:v>
      </x:c>
      <x:c r="O17" s="11" t="str">
        <x:v>High</x:v>
      </x:c>
      <x:c r="P17" s="11" t="str">
        <x:v>Essential state-level navigator.</x:v>
      </x:c>
    </x:row>
    <x:row r="18">
      <x:c r="A18" s="11" t="str">
        <x:v>Georgia</x:v>
      </x:c>
      <x:c r="B18" s="11" t="str">
        <x:v>Veterans Empowerment Organization</x:v>
      </x:c>
      <x:c r="C18" s="11" t="str">
        <x:v>Housing &amp; Transportation</x:v>
      </x:c>
      <x:c r="D18" s="11" t="str">
        <x:v>Veterans</x:v>
      </x:c>
      <x:c r="E18" s="11" t="str">
        <x:v>Secondary</x:v>
      </x:c>
      <x:c r="F18" s="11" t="str">
        <x:v>Emergency/supportive housing, mental-health and substance-use clinical care, workforce training, stability support and cycling team.</x:v>
      </x:c>
      <x:c r="G18" s="11" t="str">
        <x:v>Veterans in Atlanta area; program eligibility varies.</x:v>
      </x:c>
      <x:c r="H18" s="11" t="str">
        <x:v>Free / Varies</x:v>
      </x:c>
      <x:c r="I18" s="11" t="str">
        <x:v>Regional</x:v>
      </x:c>
      <x:c r="J18" s="11" t="str">
        <x:v>Atlanta / Georgia</x:v>
      </x:c>
      <x:c r="K18" s="11" t="str">
        <x:v>No</x:v>
      </x:c>
      <x:c r="L18" s="11" t="str">
        <x:v>No</x:v>
      </x:c>
      <x:c r="M18" s="11" t="str">
        <x:v>2026-08-20</x:v>
      </x:c>
      <x:c r="N18" s="11" t="str">
        <x:v>https://www.veohero.org/our-mission</x:v>
      </x:c>
      <x:c r="O18" s="11" t="str">
        <x:v>High</x:v>
      </x:c>
      <x:c r="P18" s="11" t="str">
        <x:v>Cycling component makes it especially aligned.</x:v>
      </x:c>
    </x:row>
    <x:row r="19">
      <x:c r="A19" s="11" t="str">
        <x:v>Georgia</x:v>
      </x:c>
      <x:c r="B19" s="11" t="str">
        <x:v>VETLANTA</x:v>
      </x:c>
      <x:c r="C19" s="11" t="str">
        <x:v>Career &amp; Education</x:v>
      </x:c>
      <x:c r="D19" s="11" t="str">
        <x:v>Veterans; Military families</x:v>
      </x:c>
      <x:c r="E19" s="11" t="str">
        <x:v>None</x:v>
      </x:c>
      <x:c r="F19" s="11" t="str">
        <x:v>Connections across education, employment, housing, business/entrepreneurship and other veteran-support pillars.</x:v>
      </x:c>
      <x:c r="G19" s="11" t="str">
        <x:v>Atlanta-area veterans and military-connected community.</x:v>
      </x:c>
      <x:c r="H19" s="11" t="str">
        <x:v>Free</x:v>
      </x:c>
      <x:c r="I19" s="11" t="str">
        <x:v>Regional</x:v>
      </x:c>
      <x:c r="J19" s="11" t="str">
        <x:v>Metro Atlanta</x:v>
      </x:c>
      <x:c r="K19" s="11" t="str">
        <x:v>Yes</x:v>
      </x:c>
      <x:c r="L19" s="11" t="str">
        <x:v>No</x:v>
      </x:c>
      <x:c r="M19" s="11" t="str">
        <x:v>2026-08-20</x:v>
      </x:c>
      <x:c r="N19" s="11" t="str">
        <x:v>https://vetlanta.org/</x:v>
      </x:c>
      <x:c r="O19" s="11" t="str">
        <x:v>High</x:v>
      </x:c>
      <x:c r="P19" s="11" t="str">
        <x:v>Excellent metro-level network/navigation entry.</x:v>
      </x:c>
    </x:row>
    <x:row r="20">
      <x:c r="A20" s="11" t="str">
        <x:v>Georgia</x:v>
      </x:c>
      <x:c r="B20" s="11" t="str">
        <x:v>Georgia First Responder PTSD Program</x:v>
      </x:c>
      <x:c r="C20" s="11" t="str">
        <x:v>Mental Health &amp; Recovery</x:v>
      </x:c>
      <x:c r="D20" s="11" t="str">
        <x:v>Peace officers; Firefighters; EMS; 911; Corrections; probation; other eligible public first responders</x:v>
      </x:c>
      <x:c r="E20" s="11" t="str">
        <x:v>None</x:v>
      </x:c>
      <x:c r="F20" s="11" t="str">
        <x:v>State-mandated PTSD benefits including lump-sum and long-term disability benefits for qualifying service-connected diagnoses.</x:v>
      </x:c>
      <x:c r="G20" s="11" t="str">
        <x:v>Eligible Georgia public-entity first responders with qualifying PTSD diagnosis.</x:v>
      </x:c>
      <x:c r="H20" s="11" t="str">
        <x:v>Benefit program</x:v>
      </x:c>
      <x:c r="I20" s="11" t="str">
        <x:v>Statewide</x:v>
      </x:c>
      <x:c r="J20" s="11" t="str">
        <x:v>Georgia</x:v>
      </x:c>
      <x:c r="K20" s="11" t="str">
        <x:v>Yes</x:v>
      </x:c>
      <x:c r="L20" s="11" t="str">
        <x:v>No</x:v>
      </x:c>
      <x:c r="M20" s="11" t="str">
        <x:v>2026-08-20</x:v>
      </x:c>
      <x:c r="N20" s="11" t="str">
        <x:v>https://doas.ga.gov/human-resources-administration/georgia-first-responder-ptsd-program-hb-451/program</x:v>
      </x:c>
      <x:c r="O20" s="11" t="str">
        <x:v>High</x:v>
      </x:c>
      <x:c r="P20" s="11" t="str">
        <x:v>Legal/benefit resource, not a therapy provider.</x:v>
      </x:c>
    </x:row>
    <x:row r="21">
      <x:c r="A21" s="11" t="str">
        <x:v>Georgia</x:v>
      </x:c>
      <x:c r="B21" s="11" t="str">
        <x:v>NAMI Georgia – Frontline Professionals</x:v>
      </x:c>
      <x:c r="C21" s="11" t="str">
        <x:v>Mental Health &amp; Recovery</x:v>
      </x:c>
      <x:c r="D21" s="11" t="str">
        <x:v>Law enforcement; Fire; EMS; ER professionals; families</x:v>
      </x:c>
      <x:c r="E21" s="11" t="str">
        <x:v>None</x:v>
      </x:c>
      <x:c r="F21" s="11" t="str">
        <x:v>Frontline Wellness resources, peer-support leader materials and family relationship support.</x:v>
      </x:c>
      <x:c r="G21" s="11" t="str">
        <x:v>Frontline/public-safety professionals and families.</x:v>
      </x:c>
      <x:c r="H21" s="11" t="str">
        <x:v>Free / Varies</x:v>
      </x:c>
      <x:c r="I21" s="11" t="str">
        <x:v>Statewide</x:v>
      </x:c>
      <x:c r="J21" s="11" t="str">
        <x:v>Georgia</x:v>
      </x:c>
      <x:c r="K21" s="11" t="str">
        <x:v>Yes</x:v>
      </x:c>
      <x:c r="L21" s="11" t="str">
        <x:v>Yes</x:v>
      </x:c>
      <x:c r="M21" s="11" t="str">
        <x:v>2026-08-20</x:v>
      </x:c>
      <x:c r="N21" s="11" t="str">
        <x:v>https://namiga.org/frontline-professionals/</x:v>
      </x:c>
      <x:c r="O21" s="11" t="str">
        <x:v>Medium</x:v>
      </x:c>
      <x:c r="P21" s="11" t="str">
        <x:v>Georgia-specific crisis access included.</x:v>
      </x:c>
    </x:row>
    <x:row r="22">
      <x:c r="A22" s="11" t="str">
        <x:v>Georgia</x:v>
      </x:c>
      <x:c r="B22" s="11" t="str">
        <x:v>Code Blue Support</x:v>
      </x:c>
      <x:c r="C22" s="11" t="str">
        <x:v>Mental Health &amp; Recovery</x:v>
      </x:c>
      <x:c r="D22" s="11" t="str">
        <x:v>First responders; Families</x:v>
      </x:c>
      <x:c r="E22" s="11" t="str">
        <x:v>None</x:v>
      </x:c>
      <x:c r="F22" s="11" t="str">
        <x:v>First-responder and family wellbeing support in partnership with behavioral-health providers; community support navigation.</x:v>
      </x:c>
      <x:c r="G22" s="11" t="str">
        <x:v>Service availability may vary by community.</x:v>
      </x:c>
      <x:c r="H22" s="11" t="str">
        <x:v>Varies</x:v>
      </x:c>
      <x:c r="I22" s="11" t="str">
        <x:v>Regional / Community</x:v>
      </x:c>
      <x:c r="J22" s="11" t="str">
        <x:v>Georgia</x:v>
      </x:c>
      <x:c r="K22" s="11" t="str">
        <x:v>Some</x:v>
      </x:c>
      <x:c r="L22" s="11" t="str">
        <x:v>No</x:v>
      </x:c>
      <x:c r="M22" s="11" t="str">
        <x:v>2026-08-20</x:v>
      </x:c>
      <x:c r="N22" s="11" t="str">
        <x:v>https://www.codebluesupport.com/</x:v>
      </x:c>
      <x:c r="O22" s="11" t="str">
        <x:v>Medium</x:v>
      </x:c>
      <x:c r="P22" s="11" t="str">
        <x:v>Verify current service footprint before location-based ranking.</x:v>
      </x:c>
    </x:row>
    <x:row r="23">
      <x:c r="A23" s="11" t="str">
        <x:v>Florida</x:v>
      </x:c>
      <x:c r="B23" s="11" t="str">
        <x:v>Outdoor Valor</x:v>
      </x:c>
      <x:c r="C23" s="11" t="str">
        <x:v>Outdoor Recreation</x:v>
      </x:c>
      <x:c r="D23" s="11" t="str">
        <x:v>Veterans; Spouses</x:v>
      </x:c>
      <x:c r="E23" s="11" t="str">
        <x:v>Primary</x:v>
      </x:c>
      <x:c r="F23" s="11" t="str">
        <x:v>Free veteran-led fishing experiences, PTSD peer-support groups, whole-person wellness/accountability and spouse support.</x:v>
      </x:c>
      <x:c r="G23" s="11" t="str">
        <x:v>Veterans; spouse program also available.</x:v>
      </x:c>
      <x:c r="H23" s="11" t="str">
        <x:v>Free</x:v>
      </x:c>
      <x:c r="I23" s="11" t="str">
        <x:v>Regional / Statewide</x:v>
      </x:c>
      <x:c r="J23" s="11" t="str">
        <x:v>Florida</x:v>
      </x:c>
      <x:c r="K23" s="11" t="str">
        <x:v>Some</x:v>
      </x:c>
      <x:c r="L23" s="11" t="str">
        <x:v>No</x:v>
      </x:c>
      <x:c r="M23" s="11" t="str">
        <x:v>2026-08-20</x:v>
      </x:c>
      <x:c r="N23" s="11" t="str">
        <x:v>https://outdoorvalor.org/</x:v>
      </x:c>
      <x:c r="O23" s="11" t="str">
        <x:v>High</x:v>
      </x:c>
      <x:c r="P23" s="11" t="str">
        <x:v>Excellent outdoor + mental wellbeing fit.</x:v>
      </x:c>
    </x:row>
    <x:row r="24">
      <x:c r="A24" s="11" t="str">
        <x:v>Florida</x:v>
      </x:c>
      <x:c r="B24" s="11" t="str">
        <x:v>VetCATCH</x:v>
      </x:c>
      <x:c r="C24" s="11" t="str">
        <x:v>Outdoor Recreation</x:v>
      </x:c>
      <x:c r="D24" s="11" t="str">
        <x:v>Disabled Veterans</x:v>
      </x:c>
      <x:c r="E24" s="11" t="str">
        <x:v>Primary</x:v>
      </x:c>
      <x:c r="F24" s="11" t="str">
        <x:v>Therapeutic fishing and boating adventures including travel, lodging, meals, charters, gear and apparel.</x:v>
      </x:c>
      <x:c r="G24" s="11" t="str">
        <x:v>Disabled veterans; application required.</x:v>
      </x:c>
      <x:c r="H24" s="11" t="str">
        <x:v>Free for participants</x:v>
      </x:c>
      <x:c r="I24" s="11" t="str">
        <x:v>Regional</x:v>
      </x:c>
      <x:c r="J24" s="11" t="str">
        <x:v>Florida / Gulf Coast</x:v>
      </x:c>
      <x:c r="K24" s="11" t="str">
        <x:v>No</x:v>
      </x:c>
      <x:c r="L24" s="11" t="str">
        <x:v>No</x:v>
      </x:c>
      <x:c r="M24" s="11" t="str">
        <x:v>2026-08-20</x:v>
      </x:c>
      <x:c r="N24" s="11" t="str">
        <x:v>https://www.vetcatch.org/</x:v>
      </x:c>
      <x:c r="O24" s="11" t="str">
        <x:v>High</x:v>
      </x:c>
      <x:c r="P24" s="11" t="str">
        <x:v>Strong adaptive/outdoor resource.</x:v>
      </x:c>
    </x:row>
    <x:row r="25">
      <x:c r="A25" s="11" t="str">
        <x:v>Florida</x:v>
      </x:c>
      <x:c r="B25" s="11" t="str">
        <x:v>Vets On Board Network</x:v>
      </x:c>
      <x:c r="C25" s="11" t="str">
        <x:v>Outdoor Recreation</x:v>
      </x:c>
      <x:c r="D25" s="11" t="str">
        <x:v>Veterans</x:v>
      </x:c>
      <x:c r="E25" s="11" t="str">
        <x:v>Primary</x:v>
      </x:c>
      <x:c r="F25" s="11" t="str">
        <x:v>Water-based experiences, outdoor education and peer community supporting connection and mental wellbeing.</x:v>
      </x:c>
      <x:c r="G25" s="11" t="str">
        <x:v>Veterans in South Florida; event requirements vary.</x:v>
      </x:c>
      <x:c r="H25" s="11" t="str">
        <x:v>Free / Varies</x:v>
      </x:c>
      <x:c r="I25" s="11" t="str">
        <x:v>Regional</x:v>
      </x:c>
      <x:c r="J25" s="11" t="str">
        <x:v>South Florida</x:v>
      </x:c>
      <x:c r="K25" s="11" t="str">
        <x:v>No</x:v>
      </x:c>
      <x:c r="L25" s="11" t="str">
        <x:v>No</x:v>
      </x:c>
      <x:c r="M25" s="11" t="str">
        <x:v>2026-08-20</x:v>
      </x:c>
      <x:c r="N25" s="11" t="str">
        <x:v>https://vetsonboardnetwork.org/</x:v>
      </x:c>
      <x:c r="O25" s="11" t="str">
        <x:v>High</x:v>
      </x:c>
      <x:c r="P25" s="11" t="str">
        <x:v>Good geographically specific outdoor resource.</x:v>
      </x:c>
    </x:row>
    <x:row r="26">
      <x:c r="A26" s="11" t="str">
        <x:v>Florida</x:v>
      </x:c>
      <x:c r="B26" s="11" t="str">
        <x:v>Florida Veterans Coalition</x:v>
      </x:c>
      <x:c r="C26" s="11" t="str">
        <x:v>Financial Assistance</x:v>
      </x:c>
      <x:c r="D26" s="11" t="str">
        <x:v>Veterans; Veteran families</x:v>
      </x:c>
      <x:c r="E26" s="11" t="str">
        <x:v>None</x:v>
      </x:c>
      <x:c r="F26" s="11" t="str">
        <x:v>Emergency relief, claims education, dental referrals, employment readiness, financial wellness, food, housing, education and legal-resource connections.</x:v>
      </x:c>
      <x:c r="G26" s="11" t="str">
        <x:v>Florida veterans and families; program criteria vary.</x:v>
      </x:c>
      <x:c r="H26" s="11" t="str">
        <x:v>Free / Assistance-based</x:v>
      </x:c>
      <x:c r="I26" s="11" t="str">
        <x:v>Statewide</x:v>
      </x:c>
      <x:c r="J26" s="11" t="str">
        <x:v>Florida</x:v>
      </x:c>
      <x:c r="K26" s="11" t="str">
        <x:v>Yes</x:v>
      </x:c>
      <x:c r="L26" s="11" t="str">
        <x:v>No</x:v>
      </x:c>
      <x:c r="M26" s="11" t="str">
        <x:v>2026-08-20</x:v>
      </x:c>
      <x:c r="N26" s="11" t="str">
        <x:v>https://floridaveterans.org/</x:v>
      </x:c>
      <x:c r="O26" s="11" t="str">
        <x:v>High</x:v>
      </x:c>
      <x:c r="P26" s="11" t="str">
        <x:v>Broad statewide nonprofit resource hub.</x:v>
      </x:c>
    </x:row>
    <x:row r="27">
      <x:c r="A27" s="11" t="str">
        <x:v>Florida</x:v>
      </x:c>
      <x:c r="B27" s="11" t="str">
        <x:v>Veterans Florida</x:v>
      </x:c>
      <x:c r="C27" s="11" t="str">
        <x:v>Career &amp; Education</x:v>
      </x:c>
      <x:c r="D27" s="11" t="str">
        <x:v>Transitioning service members; Veterans; Guard/Reserve; Military spouses</x:v>
      </x:c>
      <x:c r="E27" s="11" t="str">
        <x:v>None</x:v>
      </x:c>
      <x:c r="F27" s="11" t="str">
        <x:v>No-cost SkillBridge, career, training and entrepreneurship support focused on Florida opportunity.</x:v>
      </x:c>
      <x:c r="G27" s="11" t="str">
        <x:v>Military-connected people who live in or plan to make Florida home.</x:v>
      </x:c>
      <x:c r="H27" s="11" t="str">
        <x:v>Free</x:v>
      </x:c>
      <x:c r="I27" s="11" t="str">
        <x:v>Statewide</x:v>
      </x:c>
      <x:c r="J27" s="11" t="str">
        <x:v>Florida</x:v>
      </x:c>
      <x:c r="K27" s="11" t="str">
        <x:v>Yes</x:v>
      </x:c>
      <x:c r="L27" s="11" t="str">
        <x:v>No</x:v>
      </x:c>
      <x:c r="M27" s="11" t="str">
        <x:v>2026-08-20</x:v>
      </x:c>
      <x:c r="N27" s="11" t="str">
        <x:v>https://www.veteransflorida.org/</x:v>
      </x:c>
      <x:c r="O27" s="11" t="str">
        <x:v>High</x:v>
      </x:c>
      <x:c r="P27" s="11" t="str">
        <x:v>Strong state career/entrepreneurship resource.</x:v>
      </x:c>
    </x:row>
    <x:row r="28">
      <x:c r="A28" s="11" t="str">
        <x:v>Florida</x:v>
      </x:c>
      <x:c r="B28" s="11" t="str">
        <x:v>Florida Veterans Foundation / FDVA Resource Programs</x:v>
      </x:c>
      <x:c r="C28" s="11" t="str">
        <x:v>Financial Assistance</x:v>
      </x:c>
      <x:c r="D28" s="11" t="str">
        <x:v>Veterans; Veteran families</x:v>
      </x:c>
      <x:c r="E28" s="11" t="str">
        <x:v>None</x:v>
      </x:c>
      <x:c r="F28" s="11" t="str">
        <x:v>Veteran support, statewide resource connections, dental-program access and assistance programs.</x:v>
      </x:c>
      <x:c r="G28" s="11" t="str">
        <x:v>Florida veterans; individual programs have eligibility requirements.</x:v>
      </x:c>
      <x:c r="H28" s="11" t="str">
        <x:v>Free / Assistance-based</x:v>
      </x:c>
      <x:c r="I28" s="11" t="str">
        <x:v>Statewide</x:v>
      </x:c>
      <x:c r="J28" s="11" t="str">
        <x:v>Florida</x:v>
      </x:c>
      <x:c r="K28" s="11" t="str">
        <x:v>Yes</x:v>
      </x:c>
      <x:c r="L28" s="11" t="str">
        <x:v>No</x:v>
      </x:c>
      <x:c r="M28" s="11" t="str">
        <x:v>2026-08-20</x:v>
      </x:c>
      <x:c r="N28" s="11" t="str">
        <x:v>https://floridavets.org/</x:v>
      </x:c>
      <x:c r="O28" s="11" t="str">
        <x:v>High</x:v>
      </x:c>
      <x:c r="P28" s="11" t="str">
        <x:v>Differentiate clearly from Veterans Florida.</x:v>
      </x:c>
    </x:row>
    <x:row r="29">
      <x:c r="A29" s="11" t="str">
        <x:v>Florida</x:v>
      </x:c>
      <x:c r="B29" s="11" t="str">
        <x:v>Operation Barnabas</x:v>
      </x:c>
      <x:c r="C29" s="11" t="str">
        <x:v>Mental Health &amp; Recovery</x:v>
      </x:c>
      <x:c r="D29" s="11" t="str">
        <x:v>Veterans; First responders</x:v>
      </x:c>
      <x:c r="E29" s="11" t="str">
        <x:v>Secondary</x:v>
      </x:c>
      <x:c r="F29" s="11" t="str">
        <x:v>Housing, counseling connections, mentorship, employment support and outdoor/fishing experiences with continued community support.</x:v>
      </x:c>
      <x:c r="G29" s="11" t="str">
        <x:v>Veterans and first responders; program eligibility varies.</x:v>
      </x:c>
      <x:c r="H29" s="11" t="str">
        <x:v>Free / Varies</x:v>
      </x:c>
      <x:c r="I29" s="11" t="str">
        <x:v>Regional</x:v>
      </x:c>
      <x:c r="J29" s="11" t="str">
        <x:v>Northeast Florida</x:v>
      </x:c>
      <x:c r="K29" s="11" t="str">
        <x:v>Some</x:v>
      </x:c>
      <x:c r="L29" s="11" t="str">
        <x:v>No</x:v>
      </x:c>
      <x:c r="M29" s="11" t="str">
        <x:v>2026-08-20</x:v>
      </x:c>
      <x:c r="N29" s="11" t="str">
        <x:v>https://operationbarnabas.com/our-impact/</x:v>
      </x:c>
      <x:c r="O29" s="11" t="str">
        <x:v>High</x:v>
      </x:c>
      <x:c r="P29" s="11" t="str">
        <x:v>Combined veteran/first-responder and outdoor fit.</x:v>
      </x:c>
    </x:row>
    <x:row r="30">
      <x:c r="A30" s="11" t="str">
        <x:v>Mississippi</x:v>
      </x:c>
      <x:c r="B30" s="11" t="str">
        <x:v>Mississippi Veterans Affairs</x:v>
      </x:c>
      <x:c r="C30" s="11" t="str">
        <x:v>Legal &amp; Benefits</x:v>
      </x:c>
      <x:c r="D30" s="11" t="str">
        <x:v>Veterans; Dependents</x:v>
      </x:c>
      <x:c r="E30" s="11" t="str">
        <x:v>None</x:v>
      </x:c>
      <x:c r="F30" s="11" t="str">
        <x:v>State veterans benefits, service coordination, veterans homes, benefits assistance and statewide support information.</x:v>
      </x:c>
      <x:c r="G30" s="11" t="str">
        <x:v>Mississippi veterans and eligible dependents; criteria vary by program.</x:v>
      </x:c>
      <x:c r="H30" s="11" t="str">
        <x:v>Free</x:v>
      </x:c>
      <x:c r="I30" s="11" t="str">
        <x:v>Statewide</x:v>
      </x:c>
      <x:c r="J30" s="11" t="str">
        <x:v>Mississippi</x:v>
      </x:c>
      <x:c r="K30" s="11" t="str">
        <x:v>Yes</x:v>
      </x:c>
      <x:c r="L30" s="11" t="str">
        <x:v>No</x:v>
      </x:c>
      <x:c r="M30" s="11" t="str">
        <x:v>2026-08-20</x:v>
      </x:c>
      <x:c r="N30" s="11" t="str">
        <x:v>https://www.msva.ms.gov/</x:v>
      </x:c>
      <x:c r="O30" s="11" t="str">
        <x:v>High</x:v>
      </x:c>
      <x:c r="P30" s="11" t="str">
        <x:v>Core state resource.</x:v>
      </x:c>
    </x:row>
    <x:row r="31">
      <x:c r="A31" s="11" t="str">
        <x:v>Mississippi</x:v>
      </x:c>
      <x:c r="B31" s="11" t="str">
        <x:v>Mississippi Veterans Benefits Specialists &amp; County Service Officers</x:v>
      </x:c>
      <x:c r="C31" s="11" t="str">
        <x:v>Legal &amp; Benefits</x:v>
      </x:c>
      <x:c r="D31" s="11" t="str">
        <x:v>Veterans; Families; Survivors</x:v>
      </x:c>
      <x:c r="E31" s="11" t="str">
        <x:v>None</x:v>
      </x:c>
      <x:c r="F31" s="11" t="str">
        <x:v>State and county-level benefits assistance through named specialists and county service officers.</x:v>
      </x:c>
      <x:c r="G31" s="11" t="str">
        <x:v>Veterans and eligible claimants seeking benefits help.</x:v>
      </x:c>
      <x:c r="H31" s="11" t="str">
        <x:v>Free</x:v>
      </x:c>
      <x:c r="I31" s="11" t="str">
        <x:v>Statewide / Local</x:v>
      </x:c>
      <x:c r="J31" s="11" t="str">
        <x:v>Mississippi counties</x:v>
      </x:c>
      <x:c r="K31" s="11" t="str">
        <x:v>No</x:v>
      </x:c>
      <x:c r="L31" s="11" t="str">
        <x:v>No</x:v>
      </x:c>
      <x:c r="M31" s="11" t="str">
        <x:v>2026-08-20</x:v>
      </x:c>
      <x:c r="N31" s="11" t="str">
        <x:v>https://www.msva.ms.gov/serviceofficers</x:v>
      </x:c>
      <x:c r="O31" s="11" t="str">
        <x:v>High</x:v>
      </x:c>
      <x:c r="P31" s="11" t="str">
        <x:v>Can later be broken into county-level records.</x:v>
      </x:c>
    </x:row>
    <x:row r="32">
      <x:c r="A32" s="11" t="str">
        <x:v>Mississippi</x:v>
      </x:c>
      <x:c r="B32" s="11" t="str">
        <x:v>Mississippi Department of Employment Security – Veterans Services</x:v>
      </x:c>
      <x:c r="C32" s="11" t="str">
        <x:v>Career &amp; Education</x:v>
      </x:c>
      <x:c r="D32" s="11" t="str">
        <x:v>Veterans</x:v>
      </x:c>
      <x:c r="E32" s="11" t="str">
        <x:v>None</x:v>
      </x:c>
      <x:c r="F32" s="11" t="str">
        <x:v>Priority employment services, job search, education/training, employment-rights resources and housing/homeless links.</x:v>
      </x:c>
      <x:c r="G32" s="11" t="str">
        <x:v>Veterans seeking Mississippi workforce support.</x:v>
      </x:c>
      <x:c r="H32" s="11" t="str">
        <x:v>Free</x:v>
      </x:c>
      <x:c r="I32" s="11" t="str">
        <x:v>Statewide</x:v>
      </x:c>
      <x:c r="J32" s="11" t="str">
        <x:v>Mississippi</x:v>
      </x:c>
      <x:c r="K32" s="11" t="str">
        <x:v>Yes</x:v>
      </x:c>
      <x:c r="L32" s="11" t="str">
        <x:v>No</x:v>
      </x:c>
      <x:c r="M32" s="11" t="str">
        <x:v>2026-08-20</x:v>
      </x:c>
      <x:c r="N32" s="11" t="str">
        <x:v>https://www.mdes.ms.gov/i-need-a-job/veterans-services/</x:v>
      </x:c>
      <x:c r="O32" s="11" t="str">
        <x:v>High</x:v>
      </x:c>
      <x:c r="P32" s="11" t="str">
        <x:v>Strong practical state workforce resource.</x:v>
      </x:c>
    </x:row>
    <x:row r="33">
      <x:c r="A33" s="11" t="str">
        <x:v>Mississippi</x:v>
      </x:c>
      <x:c r="B33" s="11" t="str">
        <x:v>Veterans OutReach of Mississippi – Resource Directory</x:v>
      </x:c>
      <x:c r="C33" s="11" t="str">
        <x:v>Purpose &amp; Community</x:v>
      </x:c>
      <x:c r="D33" s="11" t="str">
        <x:v>Veterans; Veteran families</x:v>
      </x:c>
      <x:c r="E33" s="11" t="str">
        <x:v>None</x:v>
      </x:c>
      <x:c r="F33" s="11" t="str">
        <x:v>Mississippi-specific directory covering benefits, career, training, food, housing and other assistance.</x:v>
      </x:c>
      <x:c r="G33" s="11" t="str">
        <x:v>Mississippi veterans and families.</x:v>
      </x:c>
      <x:c r="H33" s="11" t="str">
        <x:v>Free</x:v>
      </x:c>
      <x:c r="I33" s="11" t="str">
        <x:v>Statewide</x:v>
      </x:c>
      <x:c r="J33" s="11" t="str">
        <x:v>Mississippi</x:v>
      </x:c>
      <x:c r="K33" s="11" t="str">
        <x:v>Yes</x:v>
      </x:c>
      <x:c r="L33" s="11" t="str">
        <x:v>No</x:v>
      </x:c>
      <x:c r="M33" s="11" t="str">
        <x:v>2026-08-20</x:v>
      </x:c>
      <x:c r="N33" s="11" t="str">
        <x:v>https://veteransoutreachms.org/resources/</x:v>
      </x:c>
      <x:c r="O33" s="11" t="str">
        <x:v>Medium</x:v>
      </x:c>
      <x:c r="P33" s="11" t="str">
        <x:v>Prefer direct provider links where practical.</x:v>
      </x:c>
    </x:row>
    <x:row r="34">
      <x:c r="A34" s="11" t="str">
        <x:v>Mississippi</x:v>
      </x:c>
      <x:c r="B34" s="11" t="str">
        <x:v>Mississippi DMH – Mental Health First Aid for Public Safety</x:v>
      </x:c>
      <x:c r="C34" s="11" t="str">
        <x:v>Mental Health &amp; Recovery</x:v>
      </x:c>
      <x:c r="D34" s="11" t="str">
        <x:v>Law enforcement; First responders</x:v>
      </x:c>
      <x:c r="E34" s="11" t="str">
        <x:v>None</x:v>
      </x:c>
      <x:c r="F34" s="11" t="str">
        <x:v>No-cost Mental Health First Aid training tailored to public-safety personnel.</x:v>
      </x:c>
      <x:c r="G34" s="11" t="str">
        <x:v>Mississippi law enforcement and first-responder/public-safety personnel; scheduling required.</x:v>
      </x:c>
      <x:c r="H34" s="11" t="str">
        <x:v>Free</x:v>
      </x:c>
      <x:c r="I34" s="11" t="str">
        <x:v>Statewide</x:v>
      </x:c>
      <x:c r="J34" s="11" t="str">
        <x:v>Mississippi</x:v>
      </x:c>
      <x:c r="K34" s="11" t="str">
        <x:v>Some</x:v>
      </x:c>
      <x:c r="L34" s="11" t="str">
        <x:v>No</x:v>
      </x:c>
      <x:c r="M34" s="11" t="str">
        <x:v>2026-08-20</x:v>
      </x:c>
      <x:c r="N34" s="11" t="str">
        <x:v>https://www.dmh.ms.gov/mental-health-first-aid-training-now-available-sign-up-today/</x:v>
      </x:c>
      <x:c r="O34" s="11" t="str">
        <x:v>Medium</x:v>
      </x:c>
      <x:c r="P34" s="11" t="str">
        <x:v>Training resource rather than treatment.</x:v>
      </x:c>
    </x:row>
    <x:row r="35">
      <x:c r="A35" s="11" t="str">
        <x:v>Mississippi</x:v>
      </x:c>
      <x:c r="B35" s="11" t="str">
        <x:v>Mississippi DMH – Peer Support Services</x:v>
      </x:c>
      <x:c r="C35" s="11" t="str">
        <x:v>Mental Health &amp; Recovery</x:v>
      </x:c>
      <x:c r="D35" s="11" t="str">
        <x:v>People with mental-health or substance-use recovery needs; families</x:v>
      </x:c>
      <x:c r="E35" s="11" t="str">
        <x:v>None</x:v>
      </x:c>
      <x:c r="F35" s="11" t="str">
        <x:v>Certified peer-support and peer-run service pathways across the state behavioral-health system.</x:v>
      </x:c>
      <x:c r="G35" s="11" t="str">
        <x:v>Availability depends on local provider and program.</x:v>
      </x:c>
      <x:c r="H35" s="11" t="str">
        <x:v>Free / Insurance / Varies</x:v>
      </x:c>
      <x:c r="I35" s="11" t="str">
        <x:v>Statewide</x:v>
      </x:c>
      <x:c r="J35" s="11" t="str">
        <x:v>Mississippi</x:v>
      </x:c>
      <x:c r="K35" s="11" t="str">
        <x:v>Yes</x:v>
      </x:c>
      <x:c r="L35" s="11" t="str">
        <x:v>No</x:v>
      </x:c>
      <x:c r="M35" s="11" t="str">
        <x:v>2026-08-20</x:v>
      </x:c>
      <x:c r="N35" s="11" t="str">
        <x:v>https://www.dmh.ms.gov/service-options/peer-support/</x:v>
      </x:c>
      <x:c r="O35" s="11" t="str">
        <x:v>Medium</x:v>
      </x:c>
      <x:c r="P35" s="11" t="str">
        <x:v>Not first-responder-specific.</x:v>
      </x:c>
    </x:row>
    <x:row r="36">
      <x:c r="A36" s="11" t="str">
        <x:v>Mississippi</x:v>
      </x:c>
      <x:c r="B36" s="11" t="str">
        <x:v>VA Gulf Coast – Recreation &amp; Adaptive Sports Support</x:v>
      </x:c>
      <x:c r="C36" s="11" t="str">
        <x:v>Sports &amp; Fitness</x:v>
      </x:c>
      <x:c r="D36" s="11" t="str">
        <x:v>Veterans receiving VA Gulf Coast care</x:v>
      </x:c>
      <x:c r="E36" s="11" t="str">
        <x:v>Primary</x:v>
      </x:c>
      <x:c r="F36" s="11" t="str">
        <x:v>Recreation and creative arts therapy plus support connecting veterans to national VA adaptive sports and arts events.</x:v>
      </x:c>
      <x:c r="G36" s="11" t="str">
        <x:v>Primarily VA Gulf Coast patients; program focus varies.</x:v>
      </x:c>
      <x:c r="H36" s="11" t="str">
        <x:v>VA eligibility</x:v>
      </x:c>
      <x:c r="I36" s="11" t="str">
        <x:v>Regional</x:v>
      </x:c>
      <x:c r="J36" s="11" t="str">
        <x:v>Mississippi Gulf Coast</x:v>
      </x:c>
      <x:c r="K36" s="11" t="str">
        <x:v>Some</x:v>
      </x:c>
      <x:c r="L36" s="11" t="str">
        <x:v>No</x:v>
      </x:c>
      <x:c r="M36" s="11" t="str">
        <x:v>2026-08-20</x:v>
      </x:c>
      <x:c r="N36" s="11" t="str">
        <x:v>https://www.va.gov/gulf-coast-health-care/health-services/</x:v>
      </x:c>
      <x:c r="O36" s="11" t="str">
        <x:v>Medium</x:v>
      </x:c>
      <x:c r="P36" s="11" t="str">
        <x:v>Clarify VA eligibility.</x:v>
      </x:c>
    </x:row>
    <x:row r="37">
      <x:c r="A37" s="11" t="str">
        <x:v>North Carolina</x:v>
      </x:c>
      <x:c r="B37" s="11" t="str">
        <x:v>North Carolina Adapted Sports</x:v>
      </x:c>
      <x:c r="C37" s="11" t="str">
        <x:v>Sports &amp; Fitness</x:v>
      </x:c>
      <x:c r="D37" s="11" t="str">
        <x:v>People with physical disabilities; Adaptive athletes</x:v>
      </x:c>
      <x:c r="E37" s="11" t="str">
        <x:v>Primary</x:v>
      </x:c>
      <x:c r="F37" s="11" t="str">
        <x:v>Adaptive cycling, mountain biking, wheelchair basketball, climbing and other recreational/competitive opportunities.</x:v>
      </x:c>
      <x:c r="G37" s="11" t="str">
        <x:v>Physical disability; program-specific requirements apply.</x:v>
      </x:c>
      <x:c r="H37" s="11" t="str">
        <x:v>Varies / subsidized</x:v>
      </x:c>
      <x:c r="I37" s="11" t="str">
        <x:v>Regional</x:v>
      </x:c>
      <x:c r="J37" s="11" t="str">
        <x:v>Cary / Raleigh-Durham / North Carolina</x:v>
      </x:c>
      <x:c r="K37" s="11" t="str">
        <x:v>Some</x:v>
      </x:c>
      <x:c r="L37" s="11" t="str">
        <x:v>No</x:v>
      </x:c>
      <x:c r="M37" s="11" t="str">
        <x:v>2026-08-20</x:v>
      </x:c>
      <x:c r="N37" s="11" t="str">
        <x:v>https://moveunitedsport.org/organization/north-carolina-adapted-sports/</x:v>
      </x:c>
      <x:c r="O37" s="11" t="str">
        <x:v>High</x:v>
      </x:c>
      <x:c r="P37" s="11" t="str">
        <x:v>Strong adaptive athletics resource.</x:v>
      </x:c>
    </x:row>
    <x:row r="38">
      <x:c r="A38" s="11" t="str">
        <x:v>North Carolina</x:v>
      </x:c>
      <x:c r="B38" s="11" t="str">
        <x:v>Honor the Warriors</x:v>
      </x:c>
      <x:c r="C38" s="11" t="str">
        <x:v>Sports &amp; Fitness</x:v>
      </x:c>
      <x:c r="D38" s="11" t="str">
        <x:v>Veterans; Adaptive veterans</x:v>
      </x:c>
      <x:c r="E38" s="11" t="str">
        <x:v>Primary</x:v>
      </x:c>
      <x:c r="F38" s="11" t="str">
        <x:v>Adaptive cycling and outdoor gear plus goal-oriented supported veteran events.</x:v>
      </x:c>
      <x:c r="G38" s="11" t="str">
        <x:v>Veterans; adaptive-equipment/event criteria apply.</x:v>
      </x:c>
      <x:c r="H38" s="11" t="str">
        <x:v>Free / Assistance-based</x:v>
      </x:c>
      <x:c r="I38" s="11" t="str">
        <x:v>Regional / Statewide</x:v>
      </x:c>
      <x:c r="J38" s="11" t="str">
        <x:v>North Carolina</x:v>
      </x:c>
      <x:c r="K38" s="11" t="str">
        <x:v>No</x:v>
      </x:c>
      <x:c r="L38" s="11" t="str">
        <x:v>No</x:v>
      </x:c>
      <x:c r="M38" s="11" t="str">
        <x:v>2026-08-20</x:v>
      </x:c>
      <x:c r="N38" s="11" t="str">
        <x:v>https://honorthewarriors.org/donate/</x:v>
      </x:c>
      <x:c r="O38" s="11" t="str">
        <x:v>High</x:v>
      </x:c>
      <x:c r="P38" s="11" t="str">
        <x:v>Excellent athletic alignment.</x:v>
      </x:c>
    </x:row>
    <x:row r="39">
      <x:c r="A39" s="11" t="str">
        <x:v>North Carolina</x:v>
      </x:c>
      <x:c r="B39" s="11" t="str">
        <x:v>North Carolina DMVA – Services</x:v>
      </x:c>
      <x:c r="C39" s="11" t="str">
        <x:v>Legal &amp; Benefits</x:v>
      </x:c>
      <x:c r="D39" s="11" t="str">
        <x:v>Veterans; Service members; Military families</x:v>
      </x:c>
      <x:c r="E39" s="11" t="str">
        <x:v>None</x:v>
      </x:c>
      <x:c r="F39" s="11" t="str">
        <x:v>Benefits, transition, employment, housing, education, spouse support and statewide resource navigation.</x:v>
      </x:c>
      <x:c r="G39" s="11" t="str">
        <x:v>North Carolina military and veteran community.</x:v>
      </x:c>
      <x:c r="H39" s="11" t="str">
        <x:v>Free</x:v>
      </x:c>
      <x:c r="I39" s="11" t="str">
        <x:v>Statewide</x:v>
      </x:c>
      <x:c r="J39" s="11" t="str">
        <x:v>North Carolina</x:v>
      </x:c>
      <x:c r="K39" s="11" t="str">
        <x:v>Yes</x:v>
      </x:c>
      <x:c r="L39" s="11" t="str">
        <x:v>No</x:v>
      </x:c>
      <x:c r="M39" s="11" t="str">
        <x:v>2026-08-20</x:v>
      </x:c>
      <x:c r="N39" s="11" t="str">
        <x:v>https://www.milvets.nc.gov/services</x:v>
      </x:c>
      <x:c r="O39" s="11" t="str">
        <x:v>High</x:v>
      </x:c>
      <x:c r="P39" s="11" t="str">
        <x:v>Core statewide navigator.</x:v>
      </x:c>
    </x:row>
    <x:row r="40">
      <x:c r="A40" s="11" t="str">
        <x:v>North Carolina</x:v>
      </x:c>
      <x:c r="B40" s="11" t="str">
        <x:v>Responder Assistance Initiative (RAI)</x:v>
      </x:c>
      <x:c r="C40" s="11" t="str">
        <x:v>Mental Health &amp; Recovery</x:v>
      </x:c>
      <x:c r="D40" s="11" t="str">
        <x:v>Law enforcement; Fire; EMS; Dispatch; Public safety; families</x:v>
      </x:c>
      <x:c r="E40" s="11" t="str">
        <x:v>None</x:v>
      </x:c>
      <x:c r="F40" s="11" t="str">
        <x:v>Free confidential behavioral health care, peer support, critical-incident services, training, family/couple therapy and statewide navigation.</x:v>
      </x:c>
      <x:c r="G40" s="11" t="str">
        <x:v>North Carolina public-safety and emergency responders.</x:v>
      </x:c>
      <x:c r="H40" s="11" t="str">
        <x:v>Free</x:v>
      </x:c>
      <x:c r="I40" s="11" t="str">
        <x:v>Statewide</x:v>
      </x:c>
      <x:c r="J40" s="11" t="str">
        <x:v>North Carolina</x:v>
      </x:c>
      <x:c r="K40" s="11" t="str">
        <x:v>Yes</x:v>
      </x:c>
      <x:c r="L40" s="11" t="str">
        <x:v>Yes</x:v>
      </x:c>
      <x:c r="M40" s="11" t="str">
        <x:v>2026-08-20</x:v>
      </x:c>
      <x:c r="N40" s="11" t="str">
        <x:v>https://www.ncdps.gov/dps-services/responder-assistance-initiative</x:v>
      </x:c>
      <x:c r="O40" s="11" t="str">
        <x:v>High</x:v>
      </x:c>
      <x:c r="P40" s="11" t="str">
        <x:v>One of the strongest statewide responder programs found.</x:v>
      </x:c>
    </x:row>
    <x:row r="41">
      <x:c r="A41" s="11" t="str">
        <x:v>North Carolina</x:v>
      </x:c>
      <x:c r="B41" s="11" t="str">
        <x:v>North Carolina First Responder Peer Support</x:v>
      </x:c>
      <x:c r="C41" s="11" t="str">
        <x:v>Mental Health &amp; Recovery</x:v>
      </x:c>
      <x:c r="D41" s="11" t="str">
        <x:v>Fire; Law enforcement; EMS</x:v>
      </x:c>
      <x:c r="E41" s="11" t="str">
        <x:v>None</x:v>
      </x:c>
      <x:c r="F41" s="11" t="str">
        <x:v>Confidential peer support, clinician/treatment navigation and 24/7 peer-support access.</x:v>
      </x:c>
      <x:c r="G41" s="11" t="str">
        <x:v>North Carolina firefighters, law enforcement and EMS.</x:v>
      </x:c>
      <x:c r="H41" s="11" t="str">
        <x:v>Free</x:v>
      </x:c>
      <x:c r="I41" s="11" t="str">
        <x:v>Statewide</x:v>
      </x:c>
      <x:c r="J41" s="11" t="str">
        <x:v>North Carolina</x:v>
      </x:c>
      <x:c r="K41" s="11" t="str">
        <x:v>Yes</x:v>
      </x:c>
      <x:c r="L41" s="11" t="str">
        <x:v>Yes</x:v>
      </x:c>
      <x:c r="M41" s="11" t="str">
        <x:v>2026-08-20</x:v>
      </x:c>
      <x:c r="N41" s="11" t="str">
        <x:v>https://ncfrps.org/</x:v>
      </x:c>
      <x:c r="O41" s="11" t="str">
        <x:v>High</x:v>
      </x:c>
      <x:c r="P41" s="11" t="str">
        <x:v>Strong statewide peer-support option.</x:v>
      </x:c>
    </x:row>
    <x:row r="42">
      <x:c r="A42" s="11" t="str">
        <x:v>North Carolina</x:v>
      </x:c>
      <x:c r="B42" s="11" t="str">
        <x:v>NCLEAP</x:v>
      </x:c>
      <x:c r="C42" s="11" t="str">
        <x:v>Mental Health &amp; Recovery</x:v>
      </x:c>
      <x:c r="D42" s="11" t="str">
        <x:v>Law enforcement; First responders; Civilian staff; families</x:v>
      </x:c>
      <x:c r="E42" s="11" t="str">
        <x:v>Secondary</x:v>
      </x:c>
      <x:c r="F42" s="11" t="str">
        <x:v>No-cost peer support, chaplaincy, post-critical-incident seminars, education and pastoral care.</x:v>
      </x:c>
      <x:c r="G42" s="11" t="str">
        <x:v>Law enforcement, firefighters, emergency services, civilian staff and families.</x:v>
      </x:c>
      <x:c r="H42" s="11" t="str">
        <x:v>Free</x:v>
      </x:c>
      <x:c r="I42" s="11" t="str">
        <x:v>Statewide</x:v>
      </x:c>
      <x:c r="J42" s="11" t="str">
        <x:v>North Carolina</x:v>
      </x:c>
      <x:c r="K42" s="11" t="str">
        <x:v>Some</x:v>
      </x:c>
      <x:c r="L42" s="11" t="str">
        <x:v>Yes</x:v>
      </x:c>
      <x:c r="M42" s="11" t="str">
        <x:v>2026-08-20</x:v>
      </x:c>
      <x:c r="N42" s="11" t="str">
        <x:v>https://nc-leap.org/</x:v>
      </x:c>
      <x:c r="O42" s="11" t="str">
        <x:v>High</x:v>
      </x:c>
      <x:c r="P42" s="11" t="str">
        <x:v>Includes spiritual care.</x:v>
      </x:c>
    </x:row>
    <x:row r="43">
      <x:c r="A43" s="11" t="str">
        <x:v>North Carolina</x:v>
      </x:c>
      <x:c r="B43" s="11" t="str">
        <x:v>First Responders Peer Support Network</x:v>
      </x:c>
      <x:c r="C43" s="11" t="str">
        <x:v>Mental Health &amp; Recovery</x:v>
      </x:c>
      <x:c r="D43" s="11" t="str">
        <x:v>First responders; Families; Agencies</x:v>
      </x:c>
      <x:c r="E43" s="11" t="str">
        <x:v>None</x:v>
      </x:c>
      <x:c r="F43" s="11" t="str">
        <x:v>Peer support, clinical referrals, crisis intervention, chaplain services, training and possible treatment financial assistance.</x:v>
      </x:c>
      <x:c r="G43" s="11" t="str">
        <x:v>First responders and family members; access varies by program.</x:v>
      </x:c>
      <x:c r="H43" s="11" t="str">
        <x:v>Free / Assistance-based</x:v>
      </x:c>
      <x:c r="I43" s="11" t="str">
        <x:v>Regional / Statewide</x:v>
      </x:c>
      <x:c r="J43" s="11" t="str">
        <x:v>North Carolina</x:v>
      </x:c>
      <x:c r="K43" s="11" t="str">
        <x:v>Yes</x:v>
      </x:c>
      <x:c r="L43" s="11" t="str">
        <x:v>Yes</x:v>
      </x:c>
      <x:c r="M43" s="11" t="str">
        <x:v>2026-08-20</x:v>
      </x:c>
      <x:c r="N43" s="11" t="str">
        <x:v>https://www.frpsn.org/</x:v>
      </x:c>
      <x:c r="O43" s="11" t="str">
        <x:v>High</x:v>
      </x:c>
      <x:c r="P43" s="11" t="str">
        <x:v>24/7 hotline listed.</x:v>
      </x:c>
    </x:row>
    <x:row r="44">
      <x:c r="A44" s="11" t="str">
        <x:v>South Carolina</x:v>
      </x:c>
      <x:c r="B44" s="11" t="str">
        <x:v>South Carolina Veteran Coalition</x:v>
      </x:c>
      <x:c r="C44" s="11" t="str">
        <x:v>Purpose &amp; Community</x:v>
      </x:c>
      <x:c r="D44" s="11" t="str">
        <x:v>Veterans; Service members; Families</x:v>
      </x:c>
      <x:c r="E44" s="11" t="str">
        <x:v>None</x:v>
      </x:c>
      <x:c r="F44" s="11" t="str">
        <x:v>No-wrong-door coordinated platform connecting users with vetted housing, employment, education, mental health, benefits and family support.</x:v>
      </x:c>
      <x:c r="G44" s="11" t="str">
        <x:v>South Carolina military and veteran community.</x:v>
      </x:c>
      <x:c r="H44" s="11" t="str">
        <x:v>Free</x:v>
      </x:c>
      <x:c r="I44" s="11" t="str">
        <x:v>Statewide</x:v>
      </x:c>
      <x:c r="J44" s="11" t="str">
        <x:v>South Carolina</x:v>
      </x:c>
      <x:c r="K44" s="11" t="str">
        <x:v>Yes</x:v>
      </x:c>
      <x:c r="L44" s="11" t="str">
        <x:v>No</x:v>
      </x:c>
      <x:c r="M44" s="11" t="str">
        <x:v>2026-08-20</x:v>
      </x:c>
      <x:c r="N44" s="11" t="str">
        <x:v>https://scdva.sc.gov/south-carolina-veteran-coalition</x:v>
      </x:c>
      <x:c r="O44" s="11" t="str">
        <x:v>High</x:v>
      </x:c>
      <x:c r="P44" s="11" t="str">
        <x:v>Core statewide navigator.</x:v>
      </x:c>
    </x:row>
    <x:row r="45">
      <x:c r="A45" s="11" t="str">
        <x:v>South Carolina</x:v>
      </x:c>
      <x:c r="B45" s="11" t="str">
        <x:v>South Carolina Department of Veterans' Affairs</x:v>
      </x:c>
      <x:c r="C45" s="11" t="str">
        <x:v>Legal &amp; Benefits</x:v>
      </x:c>
      <x:c r="D45" s="11" t="str">
        <x:v>Veterans; Service members; Families; Survivors</x:v>
      </x:c>
      <x:c r="E45" s="11" t="str">
        <x:v>None</x:v>
      </x:c>
      <x:c r="F45" s="11" t="str">
        <x:v>Benefits/claims, county offices, employment, housing, transition support and peer mentorship.</x:v>
      </x:c>
      <x:c r="G45" s="11" t="str">
        <x:v>South Carolina military and veteran community.</x:v>
      </x:c>
      <x:c r="H45" s="11" t="str">
        <x:v>Free</x:v>
      </x:c>
      <x:c r="I45" s="11" t="str">
        <x:v>Statewide</x:v>
      </x:c>
      <x:c r="J45" s="11" t="str">
        <x:v>South Carolina</x:v>
      </x:c>
      <x:c r="K45" s="11" t="str">
        <x:v>Yes</x:v>
      </x:c>
      <x:c r="L45" s="11" t="str">
        <x:v>No</x:v>
      </x:c>
      <x:c r="M45" s="11" t="str">
        <x:v>2026-08-20</x:v>
      </x:c>
      <x:c r="N45" s="11" t="str">
        <x:v>https://scdva.sc.gov/</x:v>
      </x:c>
      <x:c r="O45" s="11" t="str">
        <x:v>High</x:v>
      </x:c>
      <x:c r="P45" s="11" t="str">
        <x:v>Core state agency entry.</x:v>
      </x:c>
    </x:row>
    <x:row r="46">
      <x:c r="A46" s="11" t="str">
        <x:v>South Carolina</x:v>
      </x:c>
      <x:c r="B46" s="11" t="str">
        <x:v>Upstate SC AMBUCS</x:v>
      </x:c>
      <x:c r="C46" s="11" t="str">
        <x:v>Equipment &amp; Grants</x:v>
      </x:c>
      <x:c r="D46" s="11" t="str">
        <x:v>Veterans with mobility limitations; Children with disabilities</x:v>
      </x:c>
      <x:c r="E46" s="11" t="str">
        <x:v>Primary</x:v>
      </x:c>
      <x:c r="F46" s="11" t="str">
        <x:v>Custom-fitted adaptive AmTryke tricycles for veterans and children with lifelong mobility challenges.</x:v>
      </x:c>
      <x:c r="G46" s="11" t="str">
        <x:v>Veterans with qualifying mobility limitations; fitting process applies.</x:v>
      </x:c>
      <x:c r="H46" s="11" t="str">
        <x:v>Grant / Donor-funded</x:v>
      </x:c>
      <x:c r="I46" s="11" t="str">
        <x:v>Regional</x:v>
      </x:c>
      <x:c r="J46" s="11" t="str">
        <x:v>Upstate South Carolina</x:v>
      </x:c>
      <x:c r="K46" s="11" t="str">
        <x:v>No</x:v>
      </x:c>
      <x:c r="L46" s="11" t="str">
        <x:v>No</x:v>
      </x:c>
      <x:c r="M46" s="11" t="str">
        <x:v>2026-08-20</x:v>
      </x:c>
      <x:c r="N46" s="11" t="str">
        <x:v>https://www.upstatescambucs.org/</x:v>
      </x:c>
      <x:c r="O46" s="11" t="str">
        <x:v>High</x:v>
      </x:c>
      <x:c r="P46" s="11" t="str">
        <x:v>Excellent adaptive equipment resource.</x:v>
      </x:c>
    </x:row>
    <x:row r="47">
      <x:c r="A47" s="11" t="str">
        <x:v>South Carolina</x:v>
      </x:c>
      <x:c r="B47" s="11" t="str">
        <x:v>First Responder Support Team (FRST)</x:v>
      </x:c>
      <x:c r="C47" s="11" t="str">
        <x:v>Mental Health &amp; Recovery</x:v>
      </x:c>
      <x:c r="D47" s="11" t="str">
        <x:v>First responders; Families</x:v>
      </x:c>
      <x:c r="E47" s="11" t="str">
        <x:v>None</x:v>
      </x:c>
      <x:c r="F47" s="11" t="str">
        <x:v>Confidential assessment, referral, short-term counseling, trauma therapy, substance-use treatment, couples and family therapy.</x:v>
      </x:c>
      <x:c r="G47" s="11" t="str">
        <x:v>South Carolina first responders and families.</x:v>
      </x:c>
      <x:c r="H47" s="11" t="str">
        <x:v>Free / State-supported / Varies</x:v>
      </x:c>
      <x:c r="I47" s="11" t="str">
        <x:v>Statewide</x:v>
      </x:c>
      <x:c r="J47" s="11" t="str">
        <x:v>South Carolina</x:v>
      </x:c>
      <x:c r="K47" s="11" t="str">
        <x:v>Yes</x:v>
      </x:c>
      <x:c r="L47" s="11" t="str">
        <x:v>Yes</x:v>
      </x:c>
      <x:c r="M47" s="11" t="str">
        <x:v>2026-08-20</x:v>
      </x:c>
      <x:c r="N47" s="11" t="str">
        <x:v>https://bhdd.sc.gov/index.php/office-mental-health/services/first-responder-support-team-frst</x:v>
      </x:c>
      <x:c r="O47" s="11" t="str">
        <x:v>High</x:v>
      </x:c>
      <x:c r="P47" s="11" t="str">
        <x:v>High-value statewide clinical resource.</x:v>
      </x:c>
    </x:row>
    <x:row r="48">
      <x:c r="A48" s="11" t="str">
        <x:v>South Carolina</x:v>
      </x:c>
      <x:c r="B48" s="11" t="str">
        <x:v>South Carolina Law Enforcement Assistance Program (SCLEAP)</x:v>
      </x:c>
      <x:c r="C48" s="11" t="str">
        <x:v>Mental Health &amp; Recovery</x:v>
      </x:c>
      <x:c r="D48" s="11" t="str">
        <x:v>Law enforcement; Agency staff; Families</x:v>
      </x:c>
      <x:c r="E48" s="11" t="str">
        <x:v>None</x:v>
      </x:c>
      <x:c r="F48" s="11" t="str">
        <x:v>Critical incident stress management, chaplaincy, peer support and confidential care/referral.</x:v>
      </x:c>
      <x:c r="G48" s="11" t="str">
        <x:v>South Carolina law-enforcement agencies/personnel and families.</x:v>
      </x:c>
      <x:c r="H48" s="11" t="str">
        <x:v>Free</x:v>
      </x:c>
      <x:c r="I48" s="11" t="str">
        <x:v>Statewide</x:v>
      </x:c>
      <x:c r="J48" s="11" t="str">
        <x:v>South Carolina</x:v>
      </x:c>
      <x:c r="K48" s="11" t="str">
        <x:v>Yes</x:v>
      </x:c>
      <x:c r="L48" s="11" t="str">
        <x:v>Yes</x:v>
      </x:c>
      <x:c r="M48" s="11" t="str">
        <x:v>2026-08-20</x:v>
      </x:c>
      <x:c r="N48" s="11" t="str">
        <x:v>https://www.sled.sc.gov/scleap</x:v>
      </x:c>
      <x:c r="O48" s="11" t="str">
        <x:v>High</x:v>
      </x:c>
      <x:c r="P48" s="11" t="str">
        <x:v>Key law-enforcement-specific state program.</x:v>
      </x:c>
    </x:row>
    <x:row r="49">
      <x:c r="A49" s="11" t="str">
        <x:v>South Carolina</x:v>
      </x:c>
      <x:c r="B49" s="11" t="str">
        <x:v>SHIELD Recovery Peer Support</x:v>
      </x:c>
      <x:c r="C49" s="11" t="str">
        <x:v>Mental Health &amp; Recovery</x:v>
      </x:c>
      <x:c r="D49" s="11" t="str">
        <x:v>Fire; EMS; Law enforcement; Emergency management; Disaster responders</x:v>
      </x:c>
      <x:c r="E49" s="11" t="str">
        <x:v>None</x:v>
      </x:c>
      <x:c r="F49" s="11" t="str">
        <x:v>Peer-led trauma-recovery support groups plus chaplaincy, therapy-K9 and critical-incident peer support.</x:v>
      </x:c>
      <x:c r="G49" s="11" t="str">
        <x:v>First responders and disaster personnel; group access procedures apply.</x:v>
      </x:c>
      <x:c r="H49" s="11" t="str">
        <x:v>Free / Varies</x:v>
      </x:c>
      <x:c r="I49" s="11" t="str">
        <x:v>Statewide / Regional</x:v>
      </x:c>
      <x:c r="J49" s="11" t="str">
        <x:v>South Carolina</x:v>
      </x:c>
      <x:c r="K49" s="11" t="str">
        <x:v>Some</x:v>
      </x:c>
      <x:c r="L49" s="11" t="str">
        <x:v>No</x:v>
      </x:c>
      <x:c r="M49" s="11" t="str">
        <x:v>2026-08-20</x:v>
      </x:c>
      <x:c r="N49" s="11" t="str">
        <x:v>https://sc-rsi.org/shield/</x:v>
      </x:c>
      <x:c r="O49" s="11" t="str">
        <x:v>High</x:v>
      </x:c>
      <x:c r="P49" s="11" t="str">
        <x:v>Distinctive peer-led recovery resource.</x:v>
      </x:c>
    </x:row>
    <x:row r="50">
      <x:c r="A50" s="11" t="str">
        <x:v>South Carolina</x:v>
      </x:c>
      <x:c r="B50" s="11" t="str">
        <x:v>Coastal Carolina Adaptive Sports &amp; Recreation</x:v>
      </x:c>
      <x:c r="C50" s="11" t="str">
        <x:v>Sports &amp; Fitness</x:v>
      </x:c>
      <x:c r="D50" s="11" t="str">
        <x:v>Adaptive athletes; Veterans with disabilities</x:v>
      </x:c>
      <x:c r="E50" s="11" t="str">
        <x:v>Primary</x:v>
      </x:c>
      <x:c r="F50" s="11" t="str">
        <x:v>Adaptive archery, boccia, golf, powerlifting, tennis, track and field, and wheelchair basketball.</x:v>
      </x:c>
      <x:c r="G50" s="11" t="str">
        <x:v>People with disabilities; program requirements vary.</x:v>
      </x:c>
      <x:c r="H50" s="11" t="str">
        <x:v>Varies</x:v>
      </x:c>
      <x:c r="I50" s="11" t="str">
        <x:v>Regional</x:v>
      </x:c>
      <x:c r="J50" s="11" t="str">
        <x:v>North Myrtle Beach / Coastal South Carolina</x:v>
      </x:c>
      <x:c r="K50" s="11" t="str">
        <x:v>No</x:v>
      </x:c>
      <x:c r="L50" s="11" t="str">
        <x:v>No</x:v>
      </x:c>
      <x:c r="M50" s="11" t="str">
        <x:v>2026-08-20</x:v>
      </x:c>
      <x:c r="N50" s="11" t="str">
        <x:v>https://www.va.gov/adaptivesports/docs/cbasp_web_spreads.pdf</x:v>
      </x:c>
      <x:c r="O50" s="11" t="str">
        <x:v>High</x:v>
      </x:c>
      <x:c r="P50" s="11" t="str">
        <x:v>Verify current direct website before production publish.</x:v>
      </x:c>
    </x:row>
    <x:row r="51">
      <x:c r="A51" s="11" t="str">
        <x:v>Kentucky</x:v>
      </x:c>
      <x:c r="B51" s="11" t="str">
        <x:v>Catalyst Sports – Louisville Chapter</x:v>
      </x:c>
      <x:c r="C51" s="11" t="str">
        <x:v>Sports &amp; Fitness</x:v>
      </x:c>
      <x:c r="D51" s="11" t="str">
        <x:v>People with physical disabilities; Adaptive athletes</x:v>
      </x:c>
      <x:c r="E51" s="11" t="str">
        <x:v>Primary</x:v>
      </x:c>
      <x:c r="F51" s="11" t="str">
        <x:v>Community-based adaptive adventure sports through the Catalyst Sports / Move United network.</x:v>
      </x:c>
      <x:c r="G51" s="11" t="str">
        <x:v>Physical disability; program-specific requirements apply.</x:v>
      </x:c>
      <x:c r="H51" s="11" t="str">
        <x:v>Varies</x:v>
      </x:c>
      <x:c r="I51" s="11" t="str">
        <x:v>Local / Regional</x:v>
      </x:c>
      <x:c r="J51" s="11" t="str">
        <x:v>Louisville</x:v>
      </x:c>
      <x:c r="K51" s="11" t="str">
        <x:v>No</x:v>
      </x:c>
      <x:c r="L51" s="11" t="str">
        <x:v>No</x:v>
      </x:c>
      <x:c r="M51" s="11" t="str">
        <x:v>2026-08-20</x:v>
      </x:c>
      <x:c r="N51" s="11" t="str">
        <x:v>https://moveunitedsport.org/locations/</x:v>
      </x:c>
      <x:c r="O51" s="11" t="str">
        <x:v>High</x:v>
      </x:c>
      <x:c r="P51" s="11" t="str">
        <x:v>Verify current chapter programming.</x:v>
      </x:c>
    </x:row>
    <x:row r="52">
      <x:c r="A52" s="11" t="str">
        <x:v>Kentucky</x:v>
      </x:c>
      <x:c r="B52" s="11" t="str">
        <x:v>Kentucky First Responder Peer Support Team</x:v>
      </x:c>
      <x:c r="C52" s="11" t="str">
        <x:v>Mental Health &amp; Recovery</x:v>
      </x:c>
      <x:c r="D52" s="11" t="str">
        <x:v>First responders</x:v>
      </x:c>
      <x:c r="E52" s="11" t="str">
        <x:v>None</x:v>
      </x:c>
      <x:c r="F52" s="11" t="str">
        <x:v>Confidential peer support from a statewide multidisciplinary first-responder team.</x:v>
      </x:c>
      <x:c r="G52" s="11" t="str">
        <x:v>Kentucky first responders.</x:v>
      </x:c>
      <x:c r="H52" s="11" t="str">
        <x:v>Free</x:v>
      </x:c>
      <x:c r="I52" s="11" t="str">
        <x:v>Statewide</x:v>
      </x:c>
      <x:c r="J52" s="11" t="str">
        <x:v>Kentucky</x:v>
      </x:c>
      <x:c r="K52" s="11" t="str">
        <x:v>Yes</x:v>
      </x:c>
      <x:c r="L52" s="11" t="str">
        <x:v>Yes</x:v>
      </x:c>
      <x:c r="M52" s="11" t="str">
        <x:v>2026-08-20</x:v>
      </x:c>
      <x:c r="N52" s="11" t="str">
        <x:v>https://kyfrpst.org/</x:v>
      </x:c>
      <x:c r="O52" s="11" t="str">
        <x:v>High</x:v>
      </x:c>
      <x:c r="P52" s="11" t="str">
        <x:v>Strong statewide first-responder resource.</x:v>
      </x:c>
    </x:row>
    <x:row r="53">
      <x:c r="A53" s="11" t="str">
        <x:v>Kentucky</x:v>
      </x:c>
      <x:c r="B53" s="11" t="str">
        <x:v>Kentucky Community Crisis Response Team (KCCRT)</x:v>
      </x:c>
      <x:c r="C53" s="11" t="str">
        <x:v>Mental Health &amp; Recovery</x:v>
      </x:c>
      <x:c r="D53" s="11" t="str">
        <x:v>First responders; Communities; Crisis-affected groups</x:v>
      </x:c>
      <x:c r="E53" s="11" t="str">
        <x:v>None</x:v>
      </x:c>
      <x:c r="F53" s="11" t="str">
        <x:v>Peer and mental-health response after critical incidents, traumatic events and disasters; debriefing and psychological first aid.</x:v>
      </x:c>
      <x:c r="G53" s="11" t="str">
        <x:v>Generally activated in response to events/incidents.</x:v>
      </x:c>
      <x:c r="H53" s="11" t="str">
        <x:v>Free / State-supported</x:v>
      </x:c>
      <x:c r="I53" s="11" t="str">
        <x:v>Statewide</x:v>
      </x:c>
      <x:c r="J53" s="11" t="str">
        <x:v>Kentucky</x:v>
      </x:c>
      <x:c r="K53" s="11" t="str">
        <x:v>Some</x:v>
      </x:c>
      <x:c r="L53" s="11" t="str">
        <x:v>Yes</x:v>
      </x:c>
      <x:c r="M53" s="11" t="str">
        <x:v>2026-08-20</x:v>
      </x:c>
      <x:c r="N53" s="11" t="str">
        <x:v>https://kccrt.ky.gov/PublishingImages/Pages/index/KCCRT%201-Pager.pdf</x:v>
      </x:c>
      <x:c r="O53" s="11" t="str">
        <x:v>High</x:v>
      </x:c>
      <x:c r="P53" s="11" t="str">
        <x:v>Useful post-critical-incident resource.</x:v>
      </x:c>
    </x:row>
    <x:row r="54">
      <x:c r="A54" s="11" t="str">
        <x:v>Kentucky</x:v>
      </x:c>
      <x:c r="B54" s="11" t="str">
        <x:v>Kentucky Veterans Program Trust Fund</x:v>
      </x:c>
      <x:c r="C54" s="11" t="str">
        <x:v>Financial Assistance</x:v>
      </x:c>
      <x:c r="D54" s="11" t="str">
        <x:v>Veterans; Organizations serving Kentucky veterans</x:v>
      </x:c>
      <x:c r="E54" s="11" t="str">
        <x:v>None</x:v>
      </x:c>
      <x:c r="F54" s="11" t="str">
        <x:v>State trust fund supporting programs and projects benefiting Kentucky veterans.</x:v>
      </x:c>
      <x:c r="G54" s="11" t="str">
        <x:v>Eligibility depends on specific program; not necessarily direct individual aid.</x:v>
      </x:c>
      <x:c r="H54" s="11" t="str">
        <x:v>Grant / Varies</x:v>
      </x:c>
      <x:c r="I54" s="11" t="str">
        <x:v>Statewide</x:v>
      </x:c>
      <x:c r="J54" s="11" t="str">
        <x:v>Kentucky</x:v>
      </x:c>
      <x:c r="K54" s="11" t="str">
        <x:v>No</x:v>
      </x:c>
      <x:c r="L54" s="11" t="str">
        <x:v>No</x:v>
      </x:c>
      <x:c r="M54" s="11" t="str">
        <x:v>2026-08-20</x:v>
      </x:c>
      <x:c r="N54" s="11" t="str">
        <x:v>https://veterans.ky.gov/veterans-trust-fund/Pages/default.aspx</x:v>
      </x:c>
      <x:c r="O54" s="11" t="str">
        <x:v>Medium</x:v>
      </x:c>
      <x:c r="P54" s="11" t="str">
        <x:v>Do not imply direct individual grants unless confirmed.</x:v>
      </x:c>
    </x:row>
    <x:row r="55">
      <x:c r="A55" s="11" t="str">
        <x:v>Kentucky</x:v>
      </x:c>
      <x:c r="B55" s="11" t="str">
        <x:v>Kentucky 988</x:v>
      </x:c>
      <x:c r="C55" s="11" t="str">
        <x:v>Mental Health &amp; Recovery</x:v>
      </x:c>
      <x:c r="D55" s="11" t="str">
        <x:v>General public; Veterans; First responders</x:v>
      </x:c>
      <x:c r="E55" s="11" t="str">
        <x:v>None</x:v>
      </x:c>
      <x:c r="F55" s="11" t="str">
        <x:v>State 988 suicide, mental-health and substance-use crisis access.</x:v>
      </x:c>
      <x:c r="G55" s="11" t="str">
        <x:v>Anyone in Kentucky seeking crisis support.</x:v>
      </x:c>
      <x:c r="H55" s="11" t="str">
        <x:v>Free</x:v>
      </x:c>
      <x:c r="I55" s="11" t="str">
        <x:v>Statewide</x:v>
      </x:c>
      <x:c r="J55" s="11" t="str">
        <x:v>Kentucky</x:v>
      </x:c>
      <x:c r="K55" s="11" t="str">
        <x:v>Yes</x:v>
      </x:c>
      <x:c r="L55" s="11" t="str">
        <x:v>Yes</x:v>
      </x:c>
      <x:c r="M55" s="11" t="str">
        <x:v>2026-08-20</x:v>
      </x:c>
      <x:c r="N55" s="11" t="str">
        <x:v>https://988.ky.gov/</x:v>
      </x:c>
      <x:c r="O55" s="11" t="str">
        <x:v>High</x:v>
      </x:c>
      <x:c r="P55" s="11" t="str">
        <x:v>General crisis fallback.</x:v>
      </x:c>
    </x:row>
    <x:row r="56">
      <x:c r="A56" s="11" t="str">
        <x:v>Kentucky</x:v>
      </x:c>
      <x:c r="B56" s="11" t="str">
        <x:v>Kentucky Law Enforcement Peer Support Grant Program</x:v>
      </x:c>
      <x:c r="C56" s="11" t="str">
        <x:v>Mental Health &amp; Recovery</x:v>
      </x:c>
      <x:c r="D56" s="11" t="str">
        <x:v>Law-enforcement agencies</x:v>
      </x:c>
      <x:c r="E56" s="11" t="str">
        <x:v>None</x:v>
      </x:c>
      <x:c r="F56" s="11" t="str">
        <x:v>Grant support for agencies creating or strengthening peer-support teams addressing chronic stress and officer mental health.</x:v>
      </x:c>
      <x:c r="G56" s="11" t="str">
        <x:v>Eligible Kentucky law-enforcement agencies/organizations; not direct individual aid.</x:v>
      </x:c>
      <x:c r="H56" s="11" t="str">
        <x:v>Grant</x:v>
      </x:c>
      <x:c r="I56" s="11" t="str">
        <x:v>Statewide</x:v>
      </x:c>
      <x:c r="J56" s="11" t="str">
        <x:v>Kentucky</x:v>
      </x:c>
      <x:c r="K56" s="11" t="str">
        <x:v>No</x:v>
      </x:c>
      <x:c r="L56" s="11" t="str">
        <x:v>No</x:v>
      </x:c>
      <x:c r="M56" s="11" t="str">
        <x:v>2026-08-20</x:v>
      </x:c>
      <x:c r="N56" s="11" t="str">
        <x:v>https://www.kentucky.gov/Pages/Activity-stream.aspx?n=AttorneyGeneral&amp;prId=1923</x:v>
      </x:c>
      <x:c r="O56" s="11" t="str">
        <x:v>Medium</x:v>
      </x:c>
      <x:c r="P56" s="11" t="str">
        <x:v>Application periods change.</x:v>
      </x:c>
    </x:row>
    <x:row r="57">
      <x:c r="A57" s="11" t="str">
        <x:v>Kentucky</x:v>
      </x:c>
      <x:c r="B57" s="11" t="str">
        <x:v>Kentucky Post-Critical Incident Seminar (KYPCIS)</x:v>
      </x:c>
      <x:c r="C57" s="11" t="str">
        <x:v>Mental Health &amp; Recovery</x:v>
      </x:c>
      <x:c r="D57" s="11" t="str">
        <x:v>Officers; Telecommunicators; Spouses</x:v>
      </x:c>
      <x:c r="E57" s="11" t="str">
        <x:v>None</x:v>
      </x:c>
      <x:c r="F57" s="11" t="str">
        <x:v>Multi-day seminar with stress/trauma education, coping, resiliency, relationship work, peer groups and clinician sessions.</x:v>
      </x:c>
      <x:c r="G57" s="11" t="str">
        <x:v>Eligible officers, telecommunicators and spouses; registration applies.</x:v>
      </x:c>
      <x:c r="H57" s="11" t="str">
        <x:v>Free / State-supported</x:v>
      </x:c>
      <x:c r="I57" s="11" t="str">
        <x:v>Statewide</x:v>
      </x:c>
      <x:c r="J57" s="11" t="str">
        <x:v>Kentucky</x:v>
      </x:c>
      <x:c r="K57" s="11" t="str">
        <x:v>No</x:v>
      </x:c>
      <x:c r="L57" s="11" t="str">
        <x:v>No</x:v>
      </x:c>
      <x:c r="M57" s="11" t="str">
        <x:v>2026-08-20</x:v>
      </x:c>
      <x:c r="N57" s="11" t="str">
        <x:v>https://apps.legislature.ky.gov/law/kar/titles/503/005/140/</x:v>
      </x:c>
      <x:c r="O57" s="11" t="str">
        <x:v>High</x:v>
      </x:c>
      <x:c r="P57" s="11" t="str">
        <x:v>Find public registration landing page before production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a6092928e0f443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0" hidden="0" customWidth="1"/>
    <x:col min="5" max="5" width="16" hidden="0" customWidth="1"/>
    <x:col min="7" max="7" width="22" hidden="0" customWidth="1"/>
    <x:col min="8" max="8" width="52" hidden="0" customWidth="1"/>
  </x:cols>
  <x:sheetData>
    <x:row r="1">
      <x:c r="A1" s="10" t="str">
        <x:v>State</x:v>
      </x:c>
      <x:c r="B1" s="10" t="str">
        <x:v>Resources</x:v>
      </x:c>
      <x:c r="C1" s="10" t="str">
        <x:v>High Priority</x:v>
      </x:c>
      <x:c r="D1" s="10" t="str">
        <x:v>Athletic / Adaptive</x:v>
      </x:c>
      <x:c r="E1" s="10" t="str">
        <x:v>Crisis/Urgent</x:v>
      </x:c>
      <x:c r="G1" s="5" t="str">
        <x:v>Southeast Build — Pass 1</x:v>
      </x:c>
      <x:c r="H1" s="5"/>
    </x:row>
    <x:row r="2">
      <x:c r="A2" s="11" t="str">
        <x:v>Alabama</x:v>
      </x:c>
      <x:c r="B2" s="11" t="n">
        <x:f>COUNTIF('Southeast Resources'!A:A,A2)</x:f>
        <x:v>7</x:v>
      </x:c>
      <x:c r="C2" s="11" t="n">
        <x:f>COUNTIFS('Southeast Resources'!A:A,A2,'Southeast Resources'!O:O,"High")</x:f>
        <x:v>6</x:v>
      </x:c>
      <x:c r="D2" s="11" t="n">
        <x:f>COUNTIFS('Southeast Resources'!A:A,A2,'Southeast Resources'!E:E,"Primary")</x:f>
        <x:v>2</x:v>
      </x:c>
      <x:c r="E2" s="11" t="n">
        <x:f>COUNTIFS('Southeast Resources'!A:A,A2,'Southeast Resources'!L:L,"Yes")</x:f>
        <x:v>2</x:v>
      </x:c>
      <x:c r="G2" s="11" t="str">
        <x:v>Scope</x:v>
      </x:c>
      <x:c r="H2" s="11" t="str">
        <x:v>AL, TN, GA, FL, MS, NC, SC, KY</x:v>
      </x:c>
    </x:row>
    <x:row r="3">
      <x:c r="A3" s="11" t="str">
        <x:v>Tennessee</x:v>
      </x:c>
      <x:c r="B3" s="11" t="n">
        <x:f>COUNTIF('Southeast Resources'!A:A,A3)</x:f>
        <x:v>7</x:v>
      </x:c>
      <x:c r="C3" s="11" t="n">
        <x:f>COUNTIFS('Southeast Resources'!A:A,A3,'Southeast Resources'!O:O,"High")</x:f>
        <x:v>6</x:v>
      </x:c>
      <x:c r="D3" s="11" t="n">
        <x:f>COUNTIFS('Southeast Resources'!A:A,A3,'Southeast Resources'!E:E,"Primary")</x:f>
        <x:v>2</x:v>
      </x:c>
      <x:c r="E3" s="11" t="n">
        <x:f>COUNTIFS('Southeast Resources'!A:A,A3,'Southeast Resources'!L:L,"Yes")</x:f>
        <x:v>2</x:v>
      </x:c>
      <x:c r="G3" s="11" t="str">
        <x:v>Verification date</x:v>
      </x:c>
      <x:c r="H3" s="11" t="str">
        <x:v>2026-08-20</x:v>
      </x:c>
    </x:row>
    <x:row r="4">
      <x:c r="A4" s="11" t="str">
        <x:v>Georgia</x:v>
      </x:c>
      <x:c r="B4" s="11" t="n">
        <x:f>COUNTIF('Southeast Resources'!A:A,A4)</x:f>
        <x:v>7</x:v>
      </x:c>
      <x:c r="C4" s="11" t="n">
        <x:f>COUNTIFS('Southeast Resources'!A:A,A4,'Southeast Resources'!O:O,"High")</x:f>
        <x:v>5</x:v>
      </x:c>
      <x:c r="D4" s="11" t="n">
        <x:f>COUNTIFS('Southeast Resources'!A:A,A4,'Southeast Resources'!E:E,"Primary")</x:f>
        <x:v>1</x:v>
      </x:c>
      <x:c r="E4" s="11" t="n">
        <x:f>COUNTIFS('Southeast Resources'!A:A,A4,'Southeast Resources'!L:L,"Yes")</x:f>
        <x:v>1</x:v>
      </x:c>
      <x:c r="G4" s="11" t="str">
        <x:v>Total records</x:v>
      </x:c>
      <x:c r="H4" s="11" t="n">
        <x:v>56</x:v>
      </x:c>
    </x:row>
    <x:row r="5">
      <x:c r="A5" s="11" t="str">
        <x:v>Florida</x:v>
      </x:c>
      <x:c r="B5" s="11" t="n">
        <x:f>COUNTIF('Southeast Resources'!A:A,A5)</x:f>
        <x:v>7</x:v>
      </x:c>
      <x:c r="C5" s="11" t="n">
        <x:f>COUNTIFS('Southeast Resources'!A:A,A5,'Southeast Resources'!O:O,"High")</x:f>
        <x:v>7</x:v>
      </x:c>
      <x:c r="D5" s="11" t="n">
        <x:f>COUNTIFS('Southeast Resources'!A:A,A5,'Southeast Resources'!E:E,"Primary")</x:f>
        <x:v>3</x:v>
      </x:c>
      <x:c r="E5" s="11" t="n">
        <x:f>COUNTIFS('Southeast Resources'!A:A,A5,'Southeast Resources'!L:L,"Yes")</x:f>
        <x:v>0</x:v>
      </x:c>
      <x:c r="G5" s="11" t="str">
        <x:v>Design principle</x:v>
      </x:c>
      <x:c r="H5" s="11" t="str">
        <x:v>State/local resources supplement national listings</x:v>
      </x:c>
    </x:row>
    <x:row r="6">
      <x:c r="A6" s="11" t="str">
        <x:v>Mississippi</x:v>
      </x:c>
      <x:c r="B6" s="11" t="n">
        <x:f>COUNTIF('Southeast Resources'!A:A,A6)</x:f>
        <x:v>7</x:v>
      </x:c>
      <x:c r="C6" s="11" t="n">
        <x:f>COUNTIFS('Southeast Resources'!A:A,A6,'Southeast Resources'!O:O,"High")</x:f>
        <x:v>3</x:v>
      </x:c>
      <x:c r="D6" s="11" t="n">
        <x:f>COUNTIFS('Southeast Resources'!A:A,A6,'Southeast Resources'!E:E,"Primary")</x:f>
        <x:v>1</x:v>
      </x:c>
      <x:c r="E6" s="11" t="n">
        <x:f>COUNTIFS('Southeast Resources'!A:A,A6,'Southeast Resources'!L:L,"Yes")</x:f>
        <x:v>0</x:v>
      </x:c>
      <x:c r="G6" s="11" t="str">
        <x:v>Next pass</x:v>
      </x:c>
      <x:c r="H6" s="11" t="str">
        <x:v>County/metro athletic + peer-support expansion</x:v>
      </x:c>
    </x:row>
    <x:row r="7">
      <x:c r="A7" s="11" t="str">
        <x:v>North Carolina</x:v>
      </x:c>
      <x:c r="B7" s="11" t="n">
        <x:f>COUNTIF('Southeast Resources'!A:A,A7)</x:f>
        <x:v>7</x:v>
      </x:c>
      <x:c r="C7" s="11" t="n">
        <x:f>COUNTIFS('Southeast Resources'!A:A,A7,'Southeast Resources'!O:O,"High")</x:f>
        <x:v>7</x:v>
      </x:c>
      <x:c r="D7" s="11" t="n">
        <x:f>COUNTIFS('Southeast Resources'!A:A,A7,'Southeast Resources'!E:E,"Primary")</x:f>
        <x:v>2</x:v>
      </x:c>
      <x:c r="E7" s="11" t="n">
        <x:f>COUNTIFS('Southeast Resources'!A:A,A7,'Southeast Resources'!L:L,"Yes")</x:f>
        <x:v>4</x:v>
      </x:c>
      <x:c r="G7" s="11" t="str">
        <x:v>Production note</x:v>
      </x:c>
      <x:c r="H7" s="11" t="str">
        <x:v>Reverify crisis contacts and direct URLs before launch</x:v>
      </x:c>
    </x:row>
    <x:row r="8">
      <x:c r="A8" s="11" t="str">
        <x:v>South Carolina</x:v>
      </x:c>
      <x:c r="B8" s="11" t="n">
        <x:f>COUNTIF('Southeast Resources'!A:A,A8)</x:f>
        <x:v>7</x:v>
      </x:c>
      <x:c r="C8" s="11" t="n">
        <x:f>COUNTIFS('Southeast Resources'!A:A,A8,'Southeast Resources'!O:O,"High")</x:f>
        <x:v>7</x:v>
      </x:c>
      <x:c r="D8" s="11" t="n">
        <x:f>COUNTIFS('Southeast Resources'!A:A,A8,'Southeast Resources'!E:E,"Primary")</x:f>
        <x:v>2</x:v>
      </x:c>
      <x:c r="E8" s="11" t="n">
        <x:f>COUNTIFS('Southeast Resources'!A:A,A8,'Southeast Resources'!L:L,"Yes")</x:f>
        <x:v>2</x:v>
      </x:c>
    </x:row>
    <x:row r="9">
      <x:c r="A9" s="11" t="str">
        <x:v>Kentucky</x:v>
      </x:c>
      <x:c r="B9" s="11" t="n">
        <x:f>COUNTIF('Southeast Resources'!A:A,A9)</x:f>
        <x:v>7</x:v>
      </x:c>
      <x:c r="C9" s="11" t="n">
        <x:f>COUNTIFS('Southeast Resources'!A:A,A9,'Southeast Resources'!O:O,"High")</x:f>
        <x:v>5</x:v>
      </x:c>
      <x:c r="D9" s="11" t="n">
        <x:f>COUNTIFS('Southeast Resources'!A:A,A9,'Southeast Resources'!E:E,"Primary")</x:f>
        <x:v>1</x:v>
      </x:c>
      <x:c r="E9" s="11" t="n">
        <x:f>COUNTIFS('Southeast Resources'!A:A,A9,'Southeast Resources'!L:L,"Yes")</x:f>
        <x:v>3</x:v>
      </x:c>
    </x:row>
  </x:sheetData>
  <x:mergeCells>
    <x:mergeCell ref="G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Recommended Values / Behavior</x:v>
      </x:c>
    </x:row>
    <x:row r="2">
      <x:c r="A2" s="11" t="str">
        <x:v>Coverage Type</x:v>
      </x:c>
      <x:c r="B2" s="11" t="str">
        <x:v>National; Multi-State; Regional; Statewide; Local</x:v>
      </x:c>
    </x:row>
    <x:row r="3">
      <x:c r="A3" s="11" t="str">
        <x:v>Audience</x:v>
      </x:c>
      <x:c r="B3" s="11" t="str">
        <x:v>Veteran; Active Military; Guard/Reserve; Law Enforcement; Fire; EMS; Dispatch; Corrections; Adaptive Athlete; Caregiver; Family; Survivor</x:v>
      </x:c>
    </x:row>
    <x:row r="4">
      <x:c r="A4" s="11" t="str">
        <x:v>Primary Category</x:v>
      </x:c>
      <x:c r="B4" s="11" t="str">
        <x:v>Sports &amp; Fitness; Outdoor Recreation; Equipment &amp; Grants; Mental Health &amp; Recovery; Financial Assistance; Career &amp; Education; Family &amp; Caregiver; Service Animals; Housing &amp; Transportation; Legal &amp; Benefits; Purpose &amp; Community</x:v>
      </x:c>
    </x:row>
    <x:row r="5">
      <x:c r="A5" s="11" t="str">
        <x:v>Athletics Focus</x:v>
      </x:c>
      <x:c r="B5" s="11" t="str">
        <x:v>Primary; Secondary; None</x:v>
      </x:c>
    </x:row>
    <x:row r="6">
      <x:c r="A6" s="11" t="str">
        <x:v>Cost</x:v>
      </x:c>
      <x:c r="B6" s="11" t="str">
        <x:v>Free; Grant; Reduced Cost; Insurance; VA eligibility; Varies</x:v>
      </x:c>
    </x:row>
    <x:row r="7">
      <x:c r="A7" s="11" t="str">
        <x:v>Remote Available</x:v>
      </x:c>
      <x:c r="B7" s="11" t="str">
        <x:v>Yes; No; Some</x:v>
      </x:c>
    </x:row>
    <x:row r="8">
      <x:c r="A8" s="11" t="str">
        <x:v>Crisis / Urgent Support</x:v>
      </x:c>
      <x:c r="B8" s="11" t="str">
        <x:v>Yes; No</x:v>
      </x:c>
    </x:row>
    <x:row r="9">
      <x:c r="A9" s="11" t="str">
        <x:v>Last Verified</x:v>
      </x:c>
      <x:c r="B9" s="11" t="str">
        <x:v>ISO date; crisis resources should be checked at least every 6 months</x:v>
      </x:c>
    </x:row>
    <x:row r="10">
      <x:c r="A10" s="11" t="str">
        <x:v>Geographic UI</x:v>
      </x:c>
      <x:c r="B10" s="11" t="str">
        <x:v>State filter + metro/county field; include national resources after local/state results</x:v>
      </x:c>
    </x:row>
    <x:row r="11">
      <x:c r="A11" s="11" t="str">
        <x:v>Ranking</x:v>
      </x:c>
      <x:c r="B11" s="11" t="str">
        <x:v>Local high-fit → Statewide high-fit → Regional → National</x:v>
      </x:c>
    </x:row>
  </x:sheetData>
  <x:pageMargins left="0.7" right="0.7" top="0.75" bottom="0.75" header="0.3" footer="0.3"/>
</x:worksheet>
</file>